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gdlearn\gdlearn\"/>
    </mc:Choice>
  </mc:AlternateContent>
  <xr:revisionPtr revIDLastSave="0" documentId="13_ncr:1_{B3BC7261-0971-4873-934D-4F2279E6CB74}" xr6:coauthVersionLast="47" xr6:coauthVersionMax="47" xr10:uidLastSave="{00000000-0000-0000-0000-000000000000}"/>
  <bookViews>
    <workbookView xWindow="-120" yWindow="-120" windowWidth="29040" windowHeight="15840" xr2:uid="{00000000-000D-0000-FFFF-FFFF00000000}"/>
  </bookViews>
  <sheets>
    <sheet name="01_광추 정의 테이블" sheetId="3" r:id="rId1"/>
    <sheet name="02_레벨테이블" sheetId="5" r:id="rId2"/>
    <sheet name="03_강화 재료 테이블" sheetId="6" r:id="rId3"/>
    <sheet name="04_광추 스탯 정의 테이블" sheetId="20" r:id="rId4"/>
    <sheet name="05_레벨업 스탯 테이블" sheetId="4" r:id="rId5"/>
    <sheet name="06_승급 스탯 테이블" sheetId="7" r:id="rId6"/>
    <sheet name="07_승급 재료 ID 테이블" sheetId="21" r:id="rId7"/>
    <sheet name="08_승급 재료 상세 테이블" sheetId="8" r:id="rId8"/>
    <sheet name="09_스킬 정의 테이블" sheetId="9" r:id="rId9"/>
    <sheet name="10_스킬 구조 노트" sheetId="22" r:id="rId10"/>
    <sheet name="11_스킬 노드 정의" sheetId="26" r:id="rId11"/>
    <sheet name="21_중첩수치" sheetId="10" r:id="rId12"/>
    <sheet name="22_원본 직접속성 감사" sheetId="11" r:id="rId13"/>
    <sheet name="23_상태정의" sheetId="12" r:id="rId14"/>
    <sheet name="24_발동정의" sheetId="13" r:id="rId15"/>
    <sheet name="25_조건정의" sheetId="14" r:id="rId16"/>
    <sheet name="26_효과정의" sheetId="15" r:id="rId17"/>
    <sheet name="20_ID·참조 규칙" sheetId="23" r:id="rId1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2" i="7" l="1"/>
  <c r="B71" i="7"/>
  <c r="B70" i="7"/>
  <c r="B69" i="7"/>
  <c r="B68" i="7"/>
  <c r="B67" i="7"/>
  <c r="B66" i="7"/>
  <c r="B65" i="7"/>
  <c r="B64" i="7"/>
  <c r="B63" i="7"/>
  <c r="B62" i="7"/>
  <c r="B61" i="7"/>
  <c r="B60" i="7"/>
  <c r="B59" i="7"/>
  <c r="B58" i="7"/>
  <c r="B57" i="7"/>
  <c r="B56" i="7"/>
  <c r="B55" i="7"/>
  <c r="B54" i="7"/>
  <c r="B53" i="7"/>
  <c r="B52" i="7"/>
  <c r="B51" i="7"/>
  <c r="B50" i="7"/>
  <c r="B49" i="7"/>
  <c r="B48" i="7"/>
  <c r="B47" i="7"/>
  <c r="B46" i="7"/>
  <c r="B45" i="7"/>
  <c r="B44" i="7"/>
  <c r="B43" i="7"/>
  <c r="B42" i="7"/>
  <c r="B41" i="7"/>
  <c r="B40" i="7"/>
  <c r="B39" i="7"/>
  <c r="B38" i="7"/>
  <c r="B37" i="7"/>
  <c r="B36" i="7"/>
  <c r="B35" i="7"/>
  <c r="B34" i="7"/>
  <c r="B33" i="7"/>
  <c r="B32" i="7"/>
  <c r="B31" i="7"/>
  <c r="B30" i="7"/>
  <c r="B29" i="7"/>
  <c r="B28" i="7"/>
  <c r="B27" i="7"/>
  <c r="B26" i="7"/>
  <c r="B25" i="7"/>
  <c r="B24" i="7"/>
  <c r="B23" i="7"/>
  <c r="B22" i="7"/>
  <c r="B21" i="7"/>
  <c r="B20" i="7"/>
  <c r="B19" i="7"/>
  <c r="B18" i="7"/>
  <c r="B17" i="7"/>
  <c r="B16" i="7"/>
  <c r="B15" i="7"/>
  <c r="B14" i="7"/>
  <c r="B13" i="7"/>
  <c r="B12" i="7"/>
  <c r="B11" i="7"/>
  <c r="B10" i="7"/>
  <c r="B9" i="7"/>
  <c r="B8" i="7"/>
  <c r="B7" i="7"/>
  <c r="B6" i="7"/>
  <c r="B5" i="7"/>
  <c r="B4" i="7"/>
  <c r="B3" i="7"/>
  <c r="D4" i="5"/>
  <c r="D5" i="5" s="1"/>
  <c r="D6" i="5" s="1"/>
  <c r="D7" i="5" s="1"/>
  <c r="D8" i="5" s="1"/>
  <c r="D9" i="5" s="1"/>
  <c r="D10" i="5" s="1"/>
  <c r="D11" i="5" s="1"/>
  <c r="D12" i="5" s="1"/>
  <c r="D13" i="5" s="1"/>
  <c r="D14" i="5" s="1"/>
  <c r="D15" i="5" s="1"/>
  <c r="D16" i="5" s="1"/>
  <c r="D17" i="5" s="1"/>
  <c r="D18" i="5" s="1"/>
  <c r="D19" i="5" s="1"/>
  <c r="D20" i="5" s="1"/>
  <c r="D21" i="5" s="1"/>
  <c r="D22" i="5" s="1"/>
  <c r="D23" i="5" s="1"/>
  <c r="D24" i="5" s="1"/>
  <c r="D25" i="5" s="1"/>
  <c r="D26" i="5" s="1"/>
  <c r="D27" i="5" s="1"/>
  <c r="D28" i="5" s="1"/>
  <c r="D29" i="5" s="1"/>
  <c r="D30" i="5" s="1"/>
  <c r="D31" i="5" s="1"/>
  <c r="D32" i="5" s="1"/>
  <c r="D33" i="5" s="1"/>
  <c r="D34" i="5" s="1"/>
  <c r="D35" i="5" s="1"/>
  <c r="D36" i="5" s="1"/>
  <c r="D37" i="5" s="1"/>
  <c r="D38" i="5" s="1"/>
  <c r="D39" i="5" s="1"/>
  <c r="D40" i="5" s="1"/>
  <c r="D41" i="5" s="1"/>
  <c r="D42" i="5" s="1"/>
  <c r="D43" i="5" s="1"/>
  <c r="D44" i="5" s="1"/>
  <c r="D45" i="5" s="1"/>
  <c r="D46" i="5" s="1"/>
  <c r="D47" i="5" s="1"/>
  <c r="D48" i="5" s="1"/>
  <c r="D49" i="5" s="1"/>
  <c r="D50" i="5" s="1"/>
  <c r="D51" i="5" s="1"/>
  <c r="D52" i="5" s="1"/>
  <c r="D53" i="5" s="1"/>
  <c r="D54" i="5" s="1"/>
  <c r="D55" i="5" s="1"/>
  <c r="D56" i="5" s="1"/>
  <c r="D57" i="5" s="1"/>
  <c r="D58" i="5" s="1"/>
  <c r="D59" i="5" s="1"/>
  <c r="D60" i="5" s="1"/>
  <c r="D61" i="5" s="1"/>
  <c r="D62" i="5" s="1"/>
  <c r="D63" i="5" s="1"/>
  <c r="D64" i="5" s="1"/>
  <c r="D65" i="5" s="1"/>
  <c r="D66" i="5" s="1"/>
  <c r="D67" i="5" s="1"/>
  <c r="D68" i="5" s="1"/>
  <c r="D69" i="5" s="1"/>
  <c r="D70" i="5" s="1"/>
  <c r="D71" i="5" s="1"/>
  <c r="D72" i="5" s="1"/>
  <c r="D73" i="5" s="1"/>
  <c r="D74" i="5" s="1"/>
  <c r="D75" i="5" s="1"/>
  <c r="D76" i="5" s="1"/>
  <c r="D77" i="5" s="1"/>
  <c r="D78" i="5" s="1"/>
  <c r="D79" i="5" s="1"/>
  <c r="D80" i="5" s="1"/>
  <c r="D81" i="5" s="1"/>
  <c r="D82" i="5" s="1"/>
  <c r="D3" i="5"/>
</calcChain>
</file>

<file path=xl/sharedStrings.xml><?xml version="1.0" encoding="utf-8"?>
<sst xmlns="http://schemas.openxmlformats.org/spreadsheetml/2006/main" count="2726" uniqueCount="1367">
  <si>
    <t>광추 레벨업 경험치 곡선 테이블</t>
  </si>
  <si>
    <t>경험치유형</t>
  </si>
  <si>
    <t>현재레벨</t>
  </si>
  <si>
    <t>다음레벨필요경험치</t>
  </si>
  <si>
    <t># 참고용 현재레벨도달누적경험치</t>
  </si>
  <si>
    <t>LCExpGrowth_5s_Std</t>
  </si>
  <si>
    <t>LCExpGrowth_4s_Std</t>
  </si>
  <si>
    <t>LCExpGrowth_3s_Std</t>
  </si>
  <si>
    <t>광추 강화 경험치 재료 테이블</t>
  </si>
  <si>
    <t>아이템 ID</t>
  </si>
  <si>
    <t>아이템명</t>
  </si>
  <si>
    <t>아이템 설명</t>
  </si>
  <si>
    <t>제공 경험치</t>
  </si>
  <si>
    <t>개당 소모 신용 포인트</t>
  </si>
  <si>
    <t>아이콘 경로</t>
  </si>
  <si>
    <t>Item_LCGrowth_01</t>
  </si>
  <si>
    <t>희박한 에테르</t>
  </si>
  <si>
    <t>광추 강화 재료. 광추 경험치를 500pt 획득한다</t>
  </si>
  <si>
    <t>SpriteOutput/ItemIcon/Item_LCGrowth_01.png</t>
  </si>
  <si>
    <t>Item_LCGrowth_02</t>
  </si>
  <si>
    <t>응축한 에테르</t>
  </si>
  <si>
    <t>광추 강화 재료. 광추 경험치를 2,000pt 획득한다</t>
  </si>
  <si>
    <t>SpriteOutput/ItemIcon/Item_LCGrowth_02.png</t>
  </si>
  <si>
    <t>Item_LCGrowth_03</t>
  </si>
  <si>
    <t>정제한 에테르</t>
  </si>
  <si>
    <t>광추 강화 재료. 광추 경험치를 6,000pt 획득한다</t>
  </si>
  <si>
    <t>SpriteOutput/ItemIcon/Item_LCGrowth_03.png</t>
  </si>
  <si>
    <t>광추 스탯 정의 테이블</t>
  </si>
  <si>
    <t>광추 스탯 ID</t>
  </si>
  <si>
    <t>광추 레벨업 스탯 ID</t>
  </si>
  <si>
    <t>광추 승급 스탯 ID []</t>
  </si>
  <si>
    <t>LCStatID_1001</t>
  </si>
  <si>
    <t>LCStatGrowth_1001</t>
  </si>
  <si>
    <t>LCPromotionID_1001_00, LCPromotionID_1001_01, LCPromotionID_1001_02, LCPromotionID_1001_03, LCPromotionID_1001_04, LCPromotionID_1001_05, LCPromotionID_1001_06</t>
  </si>
  <si>
    <t>LCStatID_1002</t>
  </si>
  <si>
    <t>LCStatGrowth_1002</t>
  </si>
  <si>
    <t>LCPromotionID_1002_00, LCPromotionID_1002_01, LCPromotionID_1002_02, LCPromotionID_1002_03, LCPromotionID_1002_04, LCPromotionID_1002_05, LCPromotionID_1002_06</t>
  </si>
  <si>
    <t>LCStatID_1003</t>
  </si>
  <si>
    <t>LCStatGrowth_1003</t>
  </si>
  <si>
    <t>LCPromotionID_1003_00, LCPromotionID_1003_01, LCPromotionID_1003_02, LCPromotionID_1003_03, LCPromotionID_1003_04, LCPromotionID_1003_05, LCPromotionID_1003_06</t>
  </si>
  <si>
    <t>LCStatID_1004</t>
  </si>
  <si>
    <t>LCStatGrowth_1004</t>
  </si>
  <si>
    <t>LCPromotionID_1004_00, LCPromotionID_1004_01, LCPromotionID_1004_02, LCPromotionID_1004_03, LCPromotionID_1004_04, LCPromotionID_1004_05, LCPromotionID_1004_06</t>
  </si>
  <si>
    <t>LCStatID_1005</t>
  </si>
  <si>
    <t>LCStatGrowth_1005</t>
  </si>
  <si>
    <t>LCPromotionID_1005_00, LCPromotionID_1005_01, LCPromotionID_1005_02, LCPromotionID_1005_03, LCPromotionID_1005_04, LCPromotionID_1005_05, LCPromotionID_1005_06</t>
  </si>
  <si>
    <t>LCStatID_1006</t>
  </si>
  <si>
    <t>LCStatGrowth_1006</t>
  </si>
  <si>
    <t>LCPromotionID_1006_00, LCPromotionID_1006_01, LCPromotionID_1006_02, LCPromotionID_1006_03, LCPromotionID_1006_04, LCPromotionID_1006_05, LCPromotionID_1006_06</t>
  </si>
  <si>
    <t>LCStatID_1007</t>
  </si>
  <si>
    <t>LCStatGrowth_1007</t>
  </si>
  <si>
    <t>LCPromotionID_1007_00, LCPromotionID_1007_01, LCPromotionID_1007_02, LCPromotionID_1007_03, LCPromotionID_1007_04, LCPromotionID_1007_05, LCPromotionID_1007_06</t>
  </si>
  <si>
    <t>LCStatID_1008</t>
  </si>
  <si>
    <t>LCStatGrowth_1008</t>
  </si>
  <si>
    <t>LCPromotionID_1008_00, LCPromotionID_1008_01, LCPromotionID_1008_02, LCPromotionID_1008_03, LCPromotionID_1008_04, LCPromotionID_1008_05, LCPromotionID_1008_06</t>
  </si>
  <si>
    <t>LCStatID_1009</t>
  </si>
  <si>
    <t>LCStatGrowth_1009</t>
  </si>
  <si>
    <t>LCPromotionID_1009_00, LCPromotionID_1009_01, LCPromotionID_1009_02, LCPromotionID_1009_03, LCPromotionID_1009_04, LCPromotionID_1009_05, LCPromotionID_1009_06</t>
  </si>
  <si>
    <t>LCStatID_1010</t>
  </si>
  <si>
    <t>LCStatGrowth_1010</t>
  </si>
  <si>
    <t>LCPromotionID_1010_01, LCPromotionID_1010_01, LCPromotionID_1010_02, LCPromotionID_1010_03, LCPromotionID_1010_04, LCPromotionID_1010_05, LCPromotionID_1010_06</t>
  </si>
  <si>
    <t>광추 레벨업 스탯 테이블</t>
  </si>
  <si>
    <t>레벨별 ID</t>
  </si>
  <si>
    <t>기본 체력</t>
  </si>
  <si>
    <t>기본 공격력</t>
  </si>
  <si>
    <t>기본 방어력</t>
  </si>
  <si>
    <t>레벨당 체력 증가량</t>
  </si>
  <si>
    <t>레벨당 공격력 증가량</t>
  </si>
  <si>
    <t>레벨당 방어력 증가량</t>
  </si>
  <si>
    <t>광추 승급 단계·보너스 능력치</t>
  </si>
  <si>
    <t>승급행ID</t>
  </si>
  <si>
    <t># 참고용 광추ID</t>
  </si>
  <si>
    <t>승급단계</t>
  </si>
  <si>
    <t>단계별 최대 레벨</t>
  </si>
  <si>
    <t>다음 승급 시 필요 계정 레벨</t>
  </si>
  <si>
    <t>다음 승급 시 필요 월드 레벨</t>
  </si>
  <si>
    <t>승급 시 체력 보너스</t>
  </si>
  <si>
    <t>승급 시 공격력 보너스</t>
  </si>
  <si>
    <t>승급시 방어력 보너스</t>
  </si>
  <si>
    <t>LCPromotionID_1001_00</t>
  </si>
  <si>
    <t>LCPromotionID_1001_01</t>
  </si>
  <si>
    <t>LCPromotionID_1001_02</t>
  </si>
  <si>
    <t>LCPromotionID_1001_03</t>
  </si>
  <si>
    <t>LCPromotionID_1001_04</t>
  </si>
  <si>
    <t>LCPromotionID_1001_05</t>
  </si>
  <si>
    <t>LCPromotionID_1001_06</t>
  </si>
  <si>
    <t>LCPromotionID_1002_00</t>
  </si>
  <si>
    <t>LCPromotionID_1002_01</t>
  </si>
  <si>
    <t>LCPromotionID_1002_02</t>
  </si>
  <si>
    <t>LCPromotionID_1002_03</t>
  </si>
  <si>
    <t>LCPromotionID_1002_04</t>
  </si>
  <si>
    <t>LCPromotionID_1002_05</t>
  </si>
  <si>
    <t>LCPromotionID_1002_06</t>
  </si>
  <si>
    <t>LCPromotionID_1003_00</t>
  </si>
  <si>
    <t>LCPromotionID_1003_01</t>
  </si>
  <si>
    <t>LCPromotionID_1003_02</t>
  </si>
  <si>
    <t>LCPromotionID_1003_03</t>
  </si>
  <si>
    <t>LCPromotionID_1003_04</t>
  </si>
  <si>
    <t>LCPromotionID_1003_05</t>
  </si>
  <si>
    <t>LCPromotionID_1003_06</t>
  </si>
  <si>
    <t>LCPromotionID_1004_00</t>
  </si>
  <si>
    <t>LCPromotionID_1004_01</t>
  </si>
  <si>
    <t>LCPromotionID_1004_02</t>
  </si>
  <si>
    <t>LCPromotionID_1004_03</t>
  </si>
  <si>
    <t>LCPromotionID_1004_04</t>
  </si>
  <si>
    <t>LCPromotionID_1004_05</t>
  </si>
  <si>
    <t>LCPromotionID_1004_06</t>
  </si>
  <si>
    <t>LCPromotionID_1005_00</t>
  </si>
  <si>
    <t>LCPromotionID_1005_01</t>
  </si>
  <si>
    <t>LCPromotionID_1005_02</t>
  </si>
  <si>
    <t>LCPromotionID_1005_03</t>
  </si>
  <si>
    <t>LCPromotionID_1005_04</t>
  </si>
  <si>
    <t>LCPromotionID_1005_05</t>
  </si>
  <si>
    <t>LCPromotionID_1005_06</t>
  </si>
  <si>
    <t>LCPromotionID_1006_00</t>
  </si>
  <si>
    <t>LCPromotionID_1006_01</t>
  </si>
  <si>
    <t>LCPromotionID_1006_02</t>
  </si>
  <si>
    <t>LCPromotionID_1006_03</t>
  </si>
  <si>
    <t>LCPromotionID_1006_04</t>
  </si>
  <si>
    <t>LCPromotionID_1006_05</t>
  </si>
  <si>
    <t>LCPromotionID_1006_06</t>
  </si>
  <si>
    <t>LCPromotionID_1007_00</t>
  </si>
  <si>
    <t>LCPromotionID_1007_01</t>
  </si>
  <si>
    <t>LCPromotionID_1007_02</t>
  </si>
  <si>
    <t>LCPromotionID_1007_03</t>
  </si>
  <si>
    <t>LCPromotionID_1007_04</t>
  </si>
  <si>
    <t>LCPromotionID_1007_05</t>
  </si>
  <si>
    <t>LCPromotionID_1007_06</t>
  </si>
  <si>
    <t>LCPromotionID_1008_00</t>
  </si>
  <si>
    <t>LCPromotionID_1008_01</t>
  </si>
  <si>
    <t>LCPromotionID_1008_02</t>
  </si>
  <si>
    <t>LCPromotionID_1008_03</t>
  </si>
  <si>
    <t>LCPromotionID_1008_04</t>
  </si>
  <si>
    <t>LCPromotionID_1008_05</t>
  </si>
  <si>
    <t>LCPromotionID_1008_06</t>
  </si>
  <si>
    <t>LCPromotionID_1009_00</t>
  </si>
  <si>
    <t>LCPromotionID_1009_01</t>
  </si>
  <si>
    <t>LCPromotionID_1009_02</t>
  </si>
  <si>
    <t>LCPromotionID_1009_03</t>
  </si>
  <si>
    <t>LCPromotionID_1009_04</t>
  </si>
  <si>
    <t>LCPromotionID_1009_05</t>
  </si>
  <si>
    <t>LCPromotionID_1009_06</t>
  </si>
  <si>
    <t>LCPromotionID_1010_00</t>
  </si>
  <si>
    <t>LCPromotionID_1010_01</t>
  </si>
  <si>
    <t>LCPromotionID_1010_02</t>
  </si>
  <si>
    <t>LCPromotionID_1010_03</t>
  </si>
  <si>
    <t>LCPromotionID_1010_04</t>
  </si>
  <si>
    <t>LCPromotionID_1010_05</t>
  </si>
  <si>
    <t>LCPromotionID_1010_06</t>
  </si>
  <si>
    <t>광추 승급 필요 아이템</t>
  </si>
  <si>
    <t>승급 재료 아이템 리스트 ID</t>
  </si>
  <si>
    <t>승급 재료 아이템 리스트 []</t>
  </si>
  <si>
    <t>LCPromotionItemList_1001</t>
  </si>
  <si>
    <t>LCPromotionItem_1001_1_1, LCPromotionItem_1001_1_2, LCPromotionItem_1001_2_1, LCPromotionItem_1001_2_2, LCPromotionItem_1001_2_3, LCPromotionItem_1001_3_1, LCPromotionItem_1001_3_2, LCPromotionItem_1001_3_3, LCPromotionItem_1001_4_1, LCPromotionItem_1001_4_2, LCPromotionItem_1001_4_3, LCPromotionItem_1001_5_1, LCPromotionItem_1001_5_2, LCPromotionItem_1001_5_3, LCPromotionItem_1001_6_1, LCPromotionItem_1001_6_2, LCPromotionItem_1001_6_3</t>
  </si>
  <si>
    <t>LCPromotionItemList_1002</t>
  </si>
  <si>
    <t>LCPromotionItem_1002_1_1, LCPromotionItem_1002_1_2, LCPromotionItem_1002_2_1, LCPromotionItem_1002_2_2, LCPromotionItem_1002_2_3, LCPromotionItem_1002_3_1, LCPromotionItem_1002_3_2, LCPromotionItem_1002_3_3, LCPromotionItem_1002_4_1, LCPromotionItem_1002_4_2, LCPromotionItem_1002_4_3, LCPromotionItem_1002_5_1, LCPromotionItem_1002_5_2, LCPromotionItem_1002_5_3, LCPromotionItem_1002_6_1, LCPromotionItem_1002_6_2, LCPromotionItem_1002_6_3</t>
  </si>
  <si>
    <t>LCPromotionItemList_1003</t>
  </si>
  <si>
    <t>LCPromotionItem_1003_1_1, LCPromotionItem_1003_1_2, LCPromotionItem_1003_2_1, LCPromotionItem_1003_2_2, LCPromotionItem_1003_2_3, LCPromotionItem_1003_3_1, LCPromotionItem_1003_3_2, LCPromotionItem_1003_3_3, LCPromotionItem_1003_4_1, LCPromotionItem_1003_4_2, LCPromotionItem_1003_4_3, LCPromotionItem_1003_5_1, LCPromotionItem_1003_5_2, LCPromotionItem_1003_5_3, LCPromotionItem_1003_6_1, LCPromotionItem_1003_6_2, LCPromotionItem_1003_6_3</t>
  </si>
  <si>
    <t>LCPromotionItemList_1004</t>
  </si>
  <si>
    <t>LCPromotionItem_1004_1_1, LCPromotionItem_1004_1_2, LCPromotionItem_1004_2_1, LCPromotionItem_1004_2_2, LCPromotionItem_1004_2_3, LCPromotionItem_1004_3_1, LCPromotionItem_1004_3_2, LCPromotionItem_1004_3_3, LCPromotionItem_1004_4_1, LCPromotionItem_1004_4_2, LCPromotionItem_1004_4_3, LCPromotionItem_1004_5_1, LCPromotionItem_1004_5_2, LCPromotionItem_1004_5_3, LCPromotionItem_1004_6_1, LCPromotionItem_1004_6_2, LCPromotionItem_1004_6_3</t>
  </si>
  <si>
    <t>LCPromotionItemList_1005</t>
  </si>
  <si>
    <t>LCPromotionItem_1005_1_1, LCPromotionItem_1005_1_2, LCPromotionItem_1005_2_1, LCPromotionItem_1005_2_2, LCPromotionItem_1005_2_3, LCPromotionItem_1005_3_1, LCPromotionItem_1005_3_2, LCPromotionItem_1005_3_3, LCPromotionItem_1005_4_1, LCPromotionItem_1005_4_2, LCPromotionItem_1005_4_3, LCPromotionItem_1005_5_1, LCPromotionItem_1005_5_2, LCPromotionItem_1005_5_3, LCPromotionItem_1005_6_1, LCPromotionItem_1005_6_2, LCPromotionItem_1005_6_3</t>
  </si>
  <si>
    <t>LCPromotionItemList_1006</t>
  </si>
  <si>
    <t>LCPromotionItem_1006_1_1, LCPromotionItem_1006_1_2, LCPromotionItem_1006_2_1, LCPromotionItem_1006_2_2, LCPromotionItem_1006_2_3, LCPromotionItem_1006_3_1, LCPromotionItem_1006_3_2, LCPromotionItem_1006_3_3, LCPromotionItem_1006_4_1, LCPromotionItem_1006_4_2, LCPromotionItem_1006_4_3, LCPromotionItem_1006_5_1, LCPromotionItem_1006_5_2, LCPromotionItem_1006_5_3, LCPromotionItem_1006_6_1, LCPromotionItem_1006_6_2, LCPromotionItem_1006_6_3</t>
  </si>
  <si>
    <t>LCPromotionItemList_1007</t>
  </si>
  <si>
    <t>LCPromotionItem_1007_1_1, LCPromotionItem_1007_1_2, LCPromotionItem_1007_2_1, LCPromotionItem_1007_2_2, LCPromotionItem_1007_2_3, LCPromotionItem_1007_3_1, LCPromotionItem_1007_3_2, LCPromotionItem_1007_3_3, LCPromotionItem_1007_4_1, LCPromotionItem_1007_4_2, LCPromotionItem_1007_4_3, LCPromotionItem_1007_5_1, LCPromotionItem_1007_5_2, LCPromotionItem_1007_5_3, LCPromotionItem_1007_6_1, LCPromotionItem_1007_6_2, LCPromotionItem_1007_6_3</t>
  </si>
  <si>
    <t>LCPromotionItemList_1008</t>
  </si>
  <si>
    <t>LCPromotionItem_1008_1_1, LCPromotionItem_1008_1_2, LCPromotionItem_1008_2_1, LCPromotionItem_1008_2_2, LCPromotionItem_1008_2_3, LCPromotionItem_1008_3_1, LCPromotionItem_1008_3_2, LCPromotionItem_1008_3_3, LCPromotionItem_1008_4_1, LCPromotionItem_1008_4_2, LCPromotionItem_1008_4_3, LCPromotionItem_1008_5_1, LCPromotionItem_1008_5_2, LCPromotionItem_1008_5_3, LCPromotionItem_1008_6_1, LCPromotionItem_1008_6_2, LCPromotionItem_1008_6_3</t>
  </si>
  <si>
    <t>LCPromotionItemList_1009</t>
  </si>
  <si>
    <t>LCPromotionItem_1009_1_1, LCPromotionItem_1009_1_2, LCPromotionItem_1009_2_1, LCPromotionItem_1009_2_2, LCPromotionItem_1009_2_3, LCPromotionItem_1009_3_1, LCPromotionItem_1009_3_2, LCPromotionItem_1009_3_3, LCPromotionItem_1009_4_1, LCPromotionItem_1009_4_2, LCPromotionItem_1009_4_3, LCPromotionItem_1009_5_1, LCPromotionItem_1009_5_2, LCPromotionItem_1009_5_3, LCPromotionItem_1009_6_1, LCPromotionItem_1009_6_2, LCPromotionItem_1009_6_3</t>
  </si>
  <si>
    <t>LCPromotionItemList_1010</t>
  </si>
  <si>
    <t>LCPromotionItem_1010_1_1, LCPromotionItem_1010_1_2, LCPromotionItem_1010_2_1, LCPromotionItem_1010_2_2, LCPromotionItem_1010_2_3, LCPromotionItem_1010_3_1, LCPromotionItem_1010_3_2, LCPromotionItem_1010_3_3, LCPromotionItem_1010_4_1, LCPromotionItem_1010_4_2, LCPromotionItem_1010_4_3, LCPromotionItem_1010_5_1, LCPromotionItem_1010_5_2, LCPromotionItem_1010_5_3, LCPromotionItem_1010_6_1, LCPromotionItem_1010_6_2, LCPromotionItem_1010_6_3</t>
  </si>
  <si>
    <t>EquipmentPromotionConfig.PromotionCostList를 아이템 단위로 정규화했습니다. 출발승급단계의 레벨 한도에서 도달승급단계로 넘어갈 때 소모합니다.</t>
  </si>
  <si>
    <t>각 열의 기능·허용값·작동 방식은 90_열정의 시트에서 같은 테이블명으로 확인합니다.</t>
  </si>
  <si>
    <t>승급 재료 아이템 ID</t>
  </si>
  <si>
    <t>광추ID</t>
  </si>
  <si>
    <t>아이템ID</t>
  </si>
  <si>
    <t>필요수량</t>
  </si>
  <si>
    <t>LCPromotionItem_1001_1_1</t>
  </si>
  <si>
    <t>LC_1001</t>
  </si>
  <si>
    <t>신용 포인트</t>
  </si>
  <si>
    <t>LCPromotionItem_1001_1_2</t>
  </si>
  <si>
    <t>공포에 짓밟힌 육신</t>
  </si>
  <si>
    <t>LCPromotionItem_1001_2_1</t>
  </si>
  <si>
    <t>LCPromotionItem_1001_2_2</t>
  </si>
  <si>
    <t>보리인의 송곳니</t>
  </si>
  <si>
    <t>LCPromotionItem_1001_2_3</t>
  </si>
  <si>
    <t>LCPromotionItem_1001_3_1</t>
  </si>
  <si>
    <t>LCPromotionItem_1001_3_2</t>
  </si>
  <si>
    <t>늑대 독 송곳니</t>
  </si>
  <si>
    <t>LCPromotionItem_1001_3_3</t>
  </si>
  <si>
    <t>용기에 찢긴 가슴</t>
  </si>
  <si>
    <t>LCPromotionItem_1001_4_1</t>
  </si>
  <si>
    <t>LCPromotionItem_1001_4_2</t>
  </si>
  <si>
    <t>LCPromotionItem_1001_4_3</t>
  </si>
  <si>
    <t>LCPromotionItem_1001_5_1</t>
  </si>
  <si>
    <t>LCPromotionItem_1001_5_2</t>
  </si>
  <si>
    <t>달의 광기 이빨</t>
  </si>
  <si>
    <t>LCPromotionItem_1001_5_3</t>
  </si>
  <si>
    <t>영광의 세례를 받은 육신</t>
  </si>
  <si>
    <t>LCPromotionItem_1001_6_1</t>
  </si>
  <si>
    <t>LCPromotionItem_1001_6_2</t>
  </si>
  <si>
    <t>LCPromotionItem_1001_6_3</t>
  </si>
  <si>
    <t>LCPromotionItem_1002_1_1</t>
  </si>
  <si>
    <t>LC_1002</t>
  </si>
  <si>
    <t>LCPromotionItem_1002_1_2</t>
  </si>
  <si>
    <t>공조 기계 부품</t>
  </si>
  <si>
    <t>LCPromotionItem_1002_2_1</t>
  </si>
  <si>
    <t>LCPromotionItem_1002_2_2</t>
  </si>
  <si>
    <t>운철 탄환</t>
  </si>
  <si>
    <t>LCPromotionItem_1002_2_3</t>
  </si>
  <si>
    <t>LCPromotionItem_1002_3_1</t>
  </si>
  <si>
    <t>LCPromotionItem_1002_3_2</t>
  </si>
  <si>
    <t>숙명적인 사인</t>
  </si>
  <si>
    <t>LCPromotionItem_1002_3_3</t>
  </si>
  <si>
    <t>공조 톱니바퀴</t>
  </si>
  <si>
    <t>LCPromotionItem_1002_4_1</t>
  </si>
  <si>
    <t>LCPromotionItem_1002_4_2</t>
  </si>
  <si>
    <t>LCPromotionItem_1002_4_3</t>
  </si>
  <si>
    <t>LCPromotionItem_1002_5_1</t>
  </si>
  <si>
    <t>LCPromotionItem_1002_5_2</t>
  </si>
  <si>
    <t>시간을 역행하는 일격</t>
  </si>
  <si>
    <t>LCPromotionItem_1002_5_3</t>
  </si>
  <si>
    <t>공조 환류 심장</t>
  </si>
  <si>
    <t>LCPromotionItem_1002_6_1</t>
  </si>
  <si>
    <t>LCPromotionItem_1002_6_2</t>
  </si>
  <si>
    <t>LCPromotionItem_1002_6_3</t>
  </si>
  <si>
    <t>LCPromotionItem_1003_1_1</t>
  </si>
  <si>
    <t>LC_1003</t>
  </si>
  <si>
    <t>LCPromotionItem_1003_1_2</t>
  </si>
  <si>
    <t>천진난만 크레파스</t>
  </si>
  <si>
    <t>LCPromotionItem_1003_2_1</t>
  </si>
  <si>
    <t>LCPromotionItem_1003_2_2</t>
  </si>
  <si>
    <t>천체 모형</t>
  </si>
  <si>
    <t>LCPromotionItem_1003_2_3</t>
  </si>
  <si>
    <t>LCPromotionItem_1003_3_1</t>
  </si>
  <si>
    <t>LCPromotionItem_1003_3_2</t>
  </si>
  <si>
    <t>은하계 프레임</t>
  </si>
  <si>
    <t>LCPromotionItem_1003_3_3</t>
  </si>
  <si>
    <t>꿈을 만드는 딥 펜</t>
  </si>
  <si>
    <t>LCPromotionItem_1003_4_1</t>
  </si>
  <si>
    <t>LCPromotionItem_1003_4_2</t>
  </si>
  <si>
    <t>LCPromotionItem_1003_4_3</t>
  </si>
  <si>
    <t>LCPromotionItem_1003_5_1</t>
  </si>
  <si>
    <t>LCPromotionItem_1003_5_2</t>
  </si>
  <si>
    <t>은하 모형판</t>
  </si>
  <si>
    <t>LCPromotionItem_1003_5_3</t>
  </si>
  <si>
    <t>꿈을 그리는 붓</t>
  </si>
  <si>
    <t>LCPromotionItem_1003_6_1</t>
  </si>
  <si>
    <t>LCPromotionItem_1003_6_2</t>
  </si>
  <si>
    <t>LCPromotionItem_1003_6_3</t>
  </si>
  <si>
    <t>LCPromotionItem_1004_1_1</t>
  </si>
  <si>
    <t>LC_1004</t>
  </si>
  <si>
    <t>LCPromotionItem_1004_1_2</t>
  </si>
  <si>
    <t>생각의 가루</t>
  </si>
  <si>
    <t>LCPromotionItem_1004_2_1</t>
  </si>
  <si>
    <t>LCPromotionItem_1004_2_2</t>
  </si>
  <si>
    <t>구름 위 음표</t>
  </si>
  <si>
    <t>LCPromotionItem_1004_2_3</t>
  </si>
  <si>
    <t>LCPromotionItem_1004_3_1</t>
  </si>
  <si>
    <t>LCPromotionItem_1004_3_2</t>
  </si>
  <si>
    <t>천상의 소절</t>
  </si>
  <si>
    <t>LCPromotionItem_1004_3_3</t>
  </si>
  <si>
    <t>인상의 파편</t>
  </si>
  <si>
    <t>LCPromotionItem_1004_4_1</t>
  </si>
  <si>
    <t>LCPromotionItem_1004_4_2</t>
  </si>
  <si>
    <t>LCPromotionItem_1004_4_3</t>
  </si>
  <si>
    <t>LCPromotionItem_1004_5_1</t>
  </si>
  <si>
    <t>LCPromotionItem_1004_5_2</t>
  </si>
  <si>
    <t>천외의 악장</t>
  </si>
  <si>
    <t>LCPromotionItem_1004_5_3</t>
  </si>
  <si>
    <t>욕망의 거울 조각</t>
  </si>
  <si>
    <t>LCPromotionItem_1004_6_1</t>
  </si>
  <si>
    <t>LCPromotionItem_1004_6_2</t>
  </si>
  <si>
    <t>LCPromotionItem_1004_6_3</t>
  </si>
  <si>
    <t>LCPromotionItem_1005_1_1</t>
  </si>
  <si>
    <t>LC_1005</t>
  </si>
  <si>
    <t>LCPromotionItem_1005_1_2</t>
  </si>
  <si>
    <t>LCPromotionItem_1005_2_1</t>
  </si>
  <si>
    <t>LCPromotionItem_1005_2_2</t>
  </si>
  <si>
    <t>열렬의 영혼</t>
  </si>
  <si>
    <t>LCPromotionItem_1005_2_3</t>
  </si>
  <si>
    <t>LCPromotionItem_1005_3_1</t>
  </si>
  <si>
    <t>LCPromotionItem_1005_3_2</t>
  </si>
  <si>
    <t>불꽃의 정령</t>
  </si>
  <si>
    <t>LCPromotionItem_1005_3_3</t>
  </si>
  <si>
    <t>LCPromotionItem_1005_4_1</t>
  </si>
  <si>
    <t>LCPromotionItem_1005_4_2</t>
  </si>
  <si>
    <t>LCPromotionItem_1005_4_3</t>
  </si>
  <si>
    <t>LCPromotionItem_1005_5_1</t>
  </si>
  <si>
    <t>LCPromotionItem_1005_5_2</t>
  </si>
  <si>
    <t>천공을 불태우는 마귀</t>
  </si>
  <si>
    <t>LCPromotionItem_1005_5_3</t>
  </si>
  <si>
    <t>LCPromotionItem_1005_6_1</t>
  </si>
  <si>
    <t>LCPromotionItem_1005_6_2</t>
  </si>
  <si>
    <t>LCPromotionItem_1005_6_3</t>
  </si>
  <si>
    <t>LCPromotionItem_1006_1_1</t>
  </si>
  <si>
    <t>LC_1006</t>
  </si>
  <si>
    <t>LCPromotionItem_1006_1_2</t>
  </si>
  <si>
    <t>LCPromotionItem_1006_2_1</t>
  </si>
  <si>
    <t>LCPromotionItem_1006_2_2</t>
  </si>
  <si>
    <t>흩어진 별모래</t>
  </si>
  <si>
    <t>LCPromotionItem_1006_2_3</t>
  </si>
  <si>
    <t>LCPromotionItem_1006_3_1</t>
  </si>
  <si>
    <t>LCPromotionItem_1006_3_2</t>
  </si>
  <si>
    <t>유성 결정</t>
  </si>
  <si>
    <t>LCPromotionItem_1006_3_3</t>
  </si>
  <si>
    <t>LCPromotionItem_1006_4_1</t>
  </si>
  <si>
    <t>LCPromotionItem_1006_4_2</t>
  </si>
  <si>
    <t>LCPromotionItem_1006_4_3</t>
  </si>
  <si>
    <t>LCPromotionItem_1006_5_1</t>
  </si>
  <si>
    <t>LCPromotionItem_1006_5_2</t>
  </si>
  <si>
    <t>신성한 앰버</t>
  </si>
  <si>
    <t>LCPromotionItem_1006_5_3</t>
  </si>
  <si>
    <t>LCPromotionItem_1006_6_1</t>
  </si>
  <si>
    <t>LCPromotionItem_1006_6_2</t>
  </si>
  <si>
    <t>LCPromotionItem_1006_6_3</t>
  </si>
  <si>
    <t>LCPromotionItem_1007_1_1</t>
  </si>
  <si>
    <t>LC_1007</t>
  </si>
  <si>
    <t>LCPromotionItem_1007_1_2</t>
  </si>
  <si>
    <t>영생의 새싹</t>
  </si>
  <si>
    <t>LCPromotionItem_1007_2_1</t>
  </si>
  <si>
    <t>LCPromotionItem_1007_2_2</t>
  </si>
  <si>
    <t>이계 나무의 씨앗</t>
  </si>
  <si>
    <t>LCPromotionItem_1007_2_3</t>
  </si>
  <si>
    <t>LCPromotionItem_1007_3_1</t>
  </si>
  <si>
    <t>LCPromotionItem_1007_3_2</t>
  </si>
  <si>
    <t>생장의 꽃꿀</t>
  </si>
  <si>
    <t>LCPromotionItem_1007_3_3</t>
  </si>
  <si>
    <t>영생의 꽃</t>
  </si>
  <si>
    <t>LCPromotionItem_1007_4_1</t>
  </si>
  <si>
    <t>LCPromotionItem_1007_4_2</t>
  </si>
  <si>
    <t>LCPromotionItem_1007_4_3</t>
  </si>
  <si>
    <t>LCPromotionItem_1007_5_1</t>
  </si>
  <si>
    <t>LCPromotionItem_1007_5_2</t>
  </si>
  <si>
    <t>만상의 과실</t>
  </si>
  <si>
    <t>LCPromotionItem_1007_5_3</t>
  </si>
  <si>
    <t>영생의 가지</t>
  </si>
  <si>
    <t>LCPromotionItem_1007_6_1</t>
  </si>
  <si>
    <t>LCPromotionItem_1007_6_2</t>
  </si>
  <si>
    <t>LCPromotionItem_1007_6_3</t>
  </si>
  <si>
    <t>LCPromotionItem_1008_1_1</t>
  </si>
  <si>
    <t>LC_1008</t>
  </si>
  <si>
    <t>LCPromotionItem_1008_1_2</t>
  </si>
  <si>
    <t>LCPromotionItem_1008_2_1</t>
  </si>
  <si>
    <t>LCPromotionItem_1008_2_2</t>
  </si>
  <si>
    <t>사량의 씨앗</t>
  </si>
  <si>
    <t>LCPromotionItem_1008_2_3</t>
  </si>
  <si>
    <t>LCPromotionItem_1008_3_1</t>
  </si>
  <si>
    <t>LCPromotionItem_1008_3_2</t>
  </si>
  <si>
    <t>말나 새싹</t>
  </si>
  <si>
    <t>LCPromotionItem_1008_3_3</t>
  </si>
  <si>
    <t>LCPromotionItem_1008_4_1</t>
  </si>
  <si>
    <t>LCPromotionItem_1008_4_2</t>
  </si>
  <si>
    <t>LCPromotionItem_1008_4_3</t>
  </si>
  <si>
    <t>LCPromotionItem_1008_5_1</t>
  </si>
  <si>
    <t>LCPromotionItem_1008_5_2</t>
  </si>
  <si>
    <t>아뢰야 꽃</t>
  </si>
  <si>
    <t>LCPromotionItem_1008_5_3</t>
  </si>
  <si>
    <t>LCPromotionItem_1008_6_1</t>
  </si>
  <si>
    <t>LCPromotionItem_1008_6_2</t>
  </si>
  <si>
    <t>LCPromotionItem_1008_6_3</t>
  </si>
  <si>
    <t>LCPromotionItem_1009_1_1</t>
  </si>
  <si>
    <t>LC_1009</t>
  </si>
  <si>
    <t>LCPromotionItem_1009_1_2</t>
  </si>
  <si>
    <t>LCPromotionItem_1009_2_1</t>
  </si>
  <si>
    <t>LCPromotionItem_1009_2_2</t>
  </si>
  <si>
    <t>≪복슬복슬호≫ 수작업 스토리보드</t>
  </si>
  <si>
    <t>LCPromotionItem_1009_2_3</t>
  </si>
  <si>
    <t>LCPromotionItem_1009_3_1</t>
  </si>
  <si>
    <t>LCPromotionItem_1009_3_2</t>
  </si>
  <si>
    <t>≪복슬복슬호≫ 연재 기념호</t>
  </si>
  <si>
    <t>LCPromotionItem_1009_3_3</t>
  </si>
  <si>
    <t>LCPromotionItem_1009_4_1</t>
  </si>
  <si>
    <t>LCPromotionItem_1009_4_2</t>
  </si>
  <si>
    <t>LCPromotionItem_1009_4_3</t>
  </si>
  <si>
    <t>LCPromotionItem_1009_5_1</t>
  </si>
  <si>
    <t>LCPromotionItem_1009_5_2</t>
  </si>
  <si>
    <t>≪복슬복슬호≫ 소장판 합본</t>
  </si>
  <si>
    <t>LCPromotionItem_1009_5_3</t>
  </si>
  <si>
    <t>LCPromotionItem_1009_6_1</t>
  </si>
  <si>
    <t>LCPromotionItem_1009_6_2</t>
  </si>
  <si>
    <t>LCPromotionItem_1009_6_3</t>
  </si>
  <si>
    <t>LCPromotionItem_1010_1_1</t>
  </si>
  <si>
    <t>LC_1010</t>
  </si>
  <si>
    <t>LCPromotionItem_1010_1_2</t>
  </si>
  <si>
    <t>LCPromotionItem_1010_2_1</t>
  </si>
  <si>
    <t>LCPromotionItem_1010_2_2</t>
  </si>
  <si>
    <t>LCPromotionItem_1010_2_3</t>
  </si>
  <si>
    <t>LCPromotionItem_1010_3_1</t>
  </si>
  <si>
    <t>LCPromotionItem_1010_3_2</t>
  </si>
  <si>
    <t>LCPromotionItem_1010_3_3</t>
  </si>
  <si>
    <t>LCPromotionItem_1010_4_1</t>
  </si>
  <si>
    <t>LCPromotionItem_1010_4_2</t>
  </si>
  <si>
    <t>LCPromotionItem_1010_4_3</t>
  </si>
  <si>
    <t>LCPromotionItem_1010_5_1</t>
  </si>
  <si>
    <t>LCPromotionItem_1010_5_2</t>
  </si>
  <si>
    <t>LCPromotionItem_1010_5_3</t>
  </si>
  <si>
    <t>LCPromotionItem_1010_6_1</t>
  </si>
  <si>
    <t>LCPromotionItem_1010_6_2</t>
  </si>
  <si>
    <t>LCPromotionItem_1010_6_3</t>
  </si>
  <si>
    <t>광추 중첩 단계별 스킬 수치</t>
  </si>
  <si>
    <t>스킬 수치 정의 레지스트리입니다. 어느 스킬에 속하는지는 이 표의 FK가 아니라 09_스킬 정의의 스킬 수치 ID 리스트가 결정합니다.</t>
  </si>
  <si>
    <t>ID 형식: LCSkillID_1001_Param01. ID의 숫자는 가독성용이며 관계 판정은 부모 목록으로만 수행합니다.</t>
  </si>
  <si>
    <t>스킬수치ID</t>
  </si>
  <si>
    <t>파라미터키</t>
  </si>
  <si>
    <t>의미</t>
  </si>
  <si>
    <t>단위</t>
  </si>
  <si>
    <t>1중첩</t>
  </si>
  <si>
    <t>2중첩</t>
  </si>
  <si>
    <t>3중첩</t>
  </si>
  <si>
    <t>4중첩</t>
  </si>
  <si>
    <t>5중첩</t>
  </si>
  <si>
    <t>LCSkillID_1001_Param01</t>
  </si>
  <si>
    <t>P1</t>
  </si>
  <si>
    <t>HP 최대치 증가</t>
  </si>
  <si>
    <t>비율</t>
  </si>
  <si>
    <t>LCSkillID_1001_Param02</t>
  </si>
  <si>
    <t>P2</t>
  </si>
  <si>
    <t>공격 시 HP 소모율</t>
  </si>
  <si>
    <t>LCSkillID_1001_Param03</t>
  </si>
  <si>
    <t>P3</t>
  </si>
  <si>
    <t>이번 공격 피해 증가</t>
  </si>
  <si>
    <t>LCSkillID_1001_Param04</t>
  </si>
  <si>
    <t>P4</t>
  </si>
  <si>
    <t>추가 피해 증가 판정 HP 소모 기준</t>
  </si>
  <si>
    <t>포인트</t>
  </si>
  <si>
    <t>LCSkillID_1001_Param05</t>
  </si>
  <si>
    <t>P5</t>
  </si>
  <si>
    <t>기준 초과 시 추가 피해 증가</t>
  </si>
  <si>
    <t>LCSkillID_1001_Param06</t>
  </si>
  <si>
    <t>P6</t>
  </si>
  <si>
    <t>받는 치유량 증가</t>
  </si>
  <si>
    <t>LCSkillID_1002_Param01</t>
  </si>
  <si>
    <t>치명타 확률 증가</t>
  </si>
  <si>
    <t>LCSkillID_1002_Param02</t>
  </si>
  <si>
    <t>유광 1스택당 필살기 방어 무시</t>
  </si>
  <si>
    <t>LCSkillID_1002_Param03</t>
  </si>
  <si>
    <t>유광 최대 중첩</t>
  </si>
  <si>
    <t>스택</t>
  </si>
  <si>
    <t>LCSkillID_1003_Param01</t>
  </si>
  <si>
    <t>원문 미사용 예약 파라미터</t>
  </si>
  <si>
    <t>예약</t>
  </si>
  <si>
    <t>LCSkillID_1003_Param02</t>
  </si>
  <si>
    <t>전투 지원 스킬 발동 시 에너지 회복</t>
  </si>
  <si>
    <t>LCSkillID_1003_Param03</t>
  </si>
  <si>
    <t>출항 최대 중첩</t>
  </si>
  <si>
    <t>LCSkillID_1003_Param04</t>
  </si>
  <si>
    <t>출항 1스택당 전투 지원 스킬 피해 증가</t>
  </si>
  <si>
    <t>LCSkillID_1003_Param05</t>
  </si>
  <si>
    <t>필살기 피해 증가 활성 중첩 기준</t>
  </si>
  <si>
    <t>LCSkillID_1003_Param06</t>
  </si>
  <si>
    <t>활성 시 출항 1스택당 필살기 피해 증가</t>
  </si>
  <si>
    <t>LCSkillID_1003_Param07</t>
  </si>
  <si>
    <t>P7</t>
  </si>
  <si>
    <t>가하는 피해의 방어 무시</t>
  </si>
  <si>
    <t>LCSkillID_1004_Param01</t>
  </si>
  <si>
    <t>발동 시 에너지 회복</t>
  </si>
  <si>
    <t>LCSkillID_1004_Param02</t>
  </si>
  <si>
    <t>신성한 영창 1스택당 가하는 피해 증가</t>
  </si>
  <si>
    <t>LCSkillID_1004_Param03</t>
  </si>
  <si>
    <t>신성한 영창 최대 중첩</t>
  </si>
  <si>
    <t>LCSkillID_1004_Param04</t>
  </si>
  <si>
    <t>신성한 영창 지속시간</t>
  </si>
  <si>
    <t>턴</t>
  </si>
  <si>
    <t>LCSkillID_1004_Param05</t>
  </si>
  <si>
    <t>전투 스킬 포인트 회복 발동 간격</t>
  </si>
  <si>
    <t>회</t>
  </si>
  <si>
    <t>LCSkillID_1005_Param01</t>
  </si>
  <si>
    <t>격파 특수효과 증가</t>
  </si>
  <si>
    <t>LCSkillID_1005_Param02</t>
  </si>
  <si>
    <t>선정 대상 격파 피해 증가</t>
  </si>
  <si>
    <t>LCSkillID_1006_Param01</t>
  </si>
  <si>
    <t>공격력 증가</t>
  </si>
  <si>
    <t>LCSkillID_1006_Param02</t>
  </si>
  <si>
    <t>방위 보유자 가하는 피해 증가</t>
  </si>
  <si>
    <t>LCSkillID_1006_Param03</t>
  </si>
  <si>
    <t>소환물 보유 시 추가 피해 증가</t>
  </si>
  <si>
    <t>LCSkillID_1006_Param04</t>
  </si>
  <si>
    <t>방위 지속시간</t>
  </si>
  <si>
    <t>LCSkillID_1006_Param05</t>
  </si>
  <si>
    <t>모든 아군 공격력 비례 치유</t>
  </si>
  <si>
    <t>LCSkillID_1006_Param06</t>
  </si>
  <si>
    <t>최저 HP 아군 추가 치유</t>
  </si>
  <si>
    <t>LCSkillID_1007_Param01</t>
  </si>
  <si>
    <t>LCSkillID_1007_Param02</t>
  </si>
  <si>
    <t>망우 받는 피해 증가</t>
  </si>
  <si>
    <t>LCSkillID_1007_Param03</t>
  </si>
  <si>
    <t>추가 효과 격파 특수효과 기준</t>
  </si>
  <si>
    <t>LCSkillID_1007_Param04</t>
  </si>
  <si>
    <t>조건 충족 시 추가 받는 피해 증가</t>
  </si>
  <si>
    <t>LCSkillID_1007_Param05</t>
  </si>
  <si>
    <t>망우 지속시간</t>
  </si>
  <si>
    <t>LCSkillID_1008_Param01</t>
  </si>
  <si>
    <t>속도 증가</t>
  </si>
  <si>
    <t>LCSkillID_1008_Param02</t>
  </si>
  <si>
    <t>시구의 모든 아군 치명타 피해 증가</t>
  </si>
  <si>
    <t>LCSkillID_1008_Param03</t>
  </si>
  <si>
    <t>공백의 모든 적 받는 피해 증가</t>
  </si>
  <si>
    <t>LCSkillID_1008_Param04</t>
  </si>
  <si>
    <t>공백·시구 동시 보유 시 효과 증폭</t>
  </si>
  <si>
    <t>LCSkillID_1009_Param01</t>
  </si>
  <si>
    <t>치명타 피해 증가</t>
  </si>
  <si>
    <t>LCSkillID_1009_Param02</t>
  </si>
  <si>
    <t>환락 스킬 후 모든 적 받는 피해 증가</t>
  </si>
  <si>
    <t>LCSkillID_1009_Param03</t>
  </si>
  <si>
    <t>받는 피해 증가 지속시간</t>
  </si>
  <si>
    <t>LCSkillID_1009_Param04</t>
  </si>
  <si>
    <t>기본 에너지 회복효율 증가</t>
  </si>
  <si>
    <t>LCSkillID_1009_Param05</t>
  </si>
  <si>
    <t>에너지 최대치 기준</t>
  </si>
  <si>
    <t>LCSkillID_1009_Param06</t>
  </si>
  <si>
    <t>초과 10pt당 에너지 회복효율 증가</t>
  </si>
  <si>
    <t>LCSkillID_1009_Param07</t>
  </si>
  <si>
    <t>계산하는 초과 에너지 최대치 상한</t>
  </si>
  <si>
    <t>LCSkillID_1010_Param01</t>
  </si>
  <si>
    <t>LCSkillID_1010_Param02</t>
  </si>
  <si>
    <t>모든 아군 현재 HP 소모율</t>
  </si>
  <si>
    <t>LCSkillID_1010_Param03</t>
  </si>
  <si>
    <t>LCSkillID_1010_Param04</t>
  </si>
  <si>
    <t>기억 정령 스킬 후 모든 적 받는 피해 증가</t>
  </si>
  <si>
    <t>LCSkillID_1010_Param05</t>
  </si>
  <si>
    <t>LCSkillID_1010_Param06</t>
  </si>
  <si>
    <t>누적 실제 HP 소모량 대비 추가 피해 배율</t>
  </si>
  <si>
    <t>광추 상태 정의</t>
  </si>
  <si>
    <t>상태ID</t>
  </si>
  <si>
    <t>상태명</t>
  </si>
  <si>
    <t>보유대상</t>
  </si>
  <si>
    <t>지속값</t>
  </si>
  <si>
    <t>지속단위</t>
  </si>
  <si>
    <t>최대중첩</t>
  </si>
  <si>
    <t>갱신방식</t>
  </si>
  <si>
    <t>해제규칙</t>
  </si>
  <si>
    <t>런타임메모</t>
  </si>
  <si>
    <t>LCStateID_1002_01</t>
  </si>
  <si>
    <t>유광</t>
  </si>
  <si>
    <t>장착 캐릭터</t>
  </si>
  <si>
    <t>원문 미기재</t>
  </si>
  <si>
    <t>해제형</t>
  </si>
  <si>
    <t>스택 추가</t>
  </si>
  <si>
    <t>장착 캐릭터 턴 종료 시 1스택 해제</t>
  </si>
  <si>
    <t>현재 스택은 전투 인스턴스가 관리</t>
  </si>
  <si>
    <t>LCStateID_1003_01</t>
  </si>
  <si>
    <t>출항</t>
  </si>
  <si>
    <t>2</t>
  </si>
  <si>
    <t>지속시간 종료</t>
  </si>
  <si>
    <t>현재 스택에 따라 두 피해 효과 계산</t>
  </si>
  <si>
    <t>LCStateID_1004_01</t>
  </si>
  <si>
    <t>신성한 영창</t>
  </si>
  <si>
    <t>스킬 목표 아군</t>
  </si>
  <si>
    <t>현재 스택·잔여 턴은 대상별 관리</t>
  </si>
  <si>
    <t>LCStateID_1006_01</t>
  </si>
  <si>
    <t>방위</t>
  </si>
  <si>
    <t>모든 아군</t>
  </si>
  <si>
    <t>원본 어빌리티 규칙</t>
  </si>
  <si>
    <t>피해 증가와 소환물 조건 효과의 상태 컨테이너</t>
  </si>
  <si>
    <t>LCStateID_1007_01</t>
  </si>
  <si>
    <t>망우</t>
  </si>
  <si>
    <t>필살기로 공격한 적</t>
  </si>
  <si>
    <t>1</t>
  </si>
  <si>
    <t>동일 상태 갱신</t>
  </si>
  <si>
    <t>받는 피해 증가 상태</t>
  </si>
  <si>
    <t>LCStateID_1008_01</t>
  </si>
  <si>
    <t>공백</t>
  </si>
  <si>
    <t>장착 캐릭터의 기억 정령</t>
  </si>
  <si>
    <t>보유 여부</t>
  </si>
  <si>
    <t>모든 적 받는 피해 증가</t>
  </si>
  <si>
    <t>LCStateID_1008_02</t>
  </si>
  <si>
    <t>시구</t>
  </si>
  <si>
    <t>모든 아군 치명타 피해 증가</t>
  </si>
  <si>
    <t>LCStateID_1009_01</t>
  </si>
  <si>
    <t>사색 피해 취약</t>
  </si>
  <si>
    <t>모든 적</t>
  </si>
  <si>
    <t>동일 유형 중첩 안 됨</t>
  </si>
  <si>
    <t>표시명은 정규화용</t>
  </si>
  <si>
    <t>LCStateID_1010_01</t>
  </si>
  <si>
    <t>포용 피해 취약</t>
  </si>
  <si>
    <t>표시명은 정규화용; 원문 동일 유형 중첩 불가</t>
  </si>
  <si>
    <t>광추 발동 정의</t>
  </si>
  <si>
    <t>발동 정의 레지스트리입니다. 실행 노드가 발동ID 하나를 참조하며, 발동 행은 소유 스킬이나 어빌리티를 역참조하지 않습니다.</t>
  </si>
  <si>
    <t>ID 형식: LCTriggerID_1001_01. 실제 이벤트 발생과 이벤트 구독은 런타임 책임입니다.</t>
  </si>
  <si>
    <t>발동ID</t>
  </si>
  <si>
    <t>순서</t>
  </si>
  <si>
    <t>발동이벤트</t>
  </si>
  <si>
    <t>행동필터</t>
  </si>
  <si>
    <t>발동주체</t>
  </si>
  <si>
    <t>적용대상</t>
  </si>
  <si>
    <t>실행요약</t>
  </si>
  <si>
    <t>LCTriggerID_1001_01</t>
  </si>
  <si>
    <t>상시</t>
  </si>
  <si>
    <t>장착 중</t>
  </si>
  <si>
    <t>HP 최대치·받는 치유량 증가</t>
  </si>
  <si>
    <t>LCTriggerID_1001_02</t>
  </si>
  <si>
    <t>공격 전</t>
  </si>
  <si>
    <t>전투 스킬 또는 필살기</t>
  </si>
  <si>
    <t>장착 캐릭터의 이번 공격</t>
  </si>
  <si>
    <t>HP 소모 후 피해 증가 계산</t>
  </si>
  <si>
    <t>LCTriggerID_1002_01</t>
  </si>
  <si>
    <t>LCTriggerID_1002_02</t>
  </si>
  <si>
    <t>공격 발동 후</t>
  </si>
  <si>
    <t>추가 공격</t>
  </si>
  <si>
    <t>유광 1스택 획득</t>
  </si>
  <si>
    <t>LCTriggerID_1002_03</t>
  </si>
  <si>
    <t>턴 종료</t>
  </si>
  <si>
    <t>모든 행동</t>
  </si>
  <si>
    <t>1스택 해제</t>
  </si>
  <si>
    <t>LCTriggerID_1002_04</t>
  </si>
  <si>
    <t>피해 계산</t>
  </si>
  <si>
    <t>필살기·유광 보유</t>
  </si>
  <si>
    <t>공격 목표</t>
  </si>
  <si>
    <t>현재 유광 스택 비례 방어 무시 계산</t>
  </si>
  <si>
    <t>LCTriggerID_1003_01</t>
  </si>
  <si>
    <t>피해 계산 시</t>
  </si>
  <si>
    <t>피해를 가함</t>
  </si>
  <si>
    <t>방어 무시</t>
  </si>
  <si>
    <t>LCTriggerID_1003_02</t>
  </si>
  <si>
    <t>행동 발동 시</t>
  </si>
  <si>
    <t>전투 지원 스킬</t>
  </si>
  <si>
    <t>에너지 회복·출항 획득</t>
  </si>
  <si>
    <t>LCTriggerID_1003_03</t>
  </si>
  <si>
    <t>전투 지원 스킬·출항 보유</t>
  </si>
  <si>
    <t>현재 출항 스택 비례 지원 스킬 피해 증가 계산</t>
  </si>
  <si>
    <t>LCTriggerID_1003_04</t>
  </si>
  <si>
    <t>필살기·출항 보유</t>
  </si>
  <si>
    <t>출항 임계 스택 충족 시 필살기 피해 증가 계산</t>
  </si>
  <si>
    <t>LCTriggerID_1004_01</t>
  </si>
  <si>
    <t>단일 아군 목표</t>
  </si>
  <si>
    <t>에너지 회복·신성한 영창 부여·횟수 누적</t>
  </si>
  <si>
    <t>LCTriggerID_1004_02</t>
  </si>
  <si>
    <t>횟수 임계 도달</t>
  </si>
  <si>
    <t>적격 행동 P5회</t>
  </si>
  <si>
    <t>아군 파티</t>
  </si>
  <si>
    <t>전투 스킬 포인트 1 회복</t>
  </si>
  <si>
    <t>LCTriggerID_1004_03</t>
  </si>
  <si>
    <t>신성한 영창 보유</t>
  </si>
  <si>
    <t>상태 보유 아군</t>
  </si>
  <si>
    <t>현재 스택 비례 피해 증가 계산</t>
  </si>
  <si>
    <t>LCTriggerID_1005_01</t>
  </si>
  <si>
    <t>LCTriggerID_1005_02</t>
  </si>
  <si>
    <t>전투 진입</t>
  </si>
  <si>
    <t>전투 시작</t>
  </si>
  <si>
    <t>규칙으로 선정한 2명</t>
  </si>
  <si>
    <t>격파 피해 증가</t>
  </si>
  <si>
    <t>LCTriggerID_1005_03</t>
  </si>
  <si>
    <t>약점 부여 성공 시</t>
  </si>
  <si>
    <t>약점 부여</t>
  </si>
  <si>
    <t>발동 가능하면 전투 스킬 포인트 1 회복</t>
  </si>
  <si>
    <t>LCTriggerID_1005_04</t>
  </si>
  <si>
    <t>필살기</t>
  </si>
  <si>
    <t>발동 가능 횟수</t>
  </si>
  <si>
    <t>1회로 초기화</t>
  </si>
  <si>
    <t>LCTriggerID_1006_01</t>
  </si>
  <si>
    <t>LCTriggerID_1006_02</t>
  </si>
  <si>
    <t>모든 아군 중 현재 HP 최저 아군</t>
  </si>
  <si>
    <t>치유·방위 부여</t>
  </si>
  <si>
    <t>LCTriggerID_1006_03</t>
  </si>
  <si>
    <t>방위 보유</t>
  </si>
  <si>
    <t>기본·소환물 조건부 피해 증가 계산</t>
  </si>
  <si>
    <t>LCTriggerID_1007_01</t>
  </si>
  <si>
    <t>LCTriggerID_1007_02</t>
  </si>
  <si>
    <t>공격 적중 후</t>
  </si>
  <si>
    <t>공격한 적</t>
  </si>
  <si>
    <t>망우 부여</t>
  </si>
  <si>
    <t>LCTriggerID_1007_03</t>
  </si>
  <si>
    <t>피격 피해 계산</t>
  </si>
  <si>
    <t>망우 보유 적</t>
  </si>
  <si>
    <t>망우 상태</t>
  </si>
  <si>
    <t>피격 적</t>
  </si>
  <si>
    <t>기본·추가 받는 피해 증가 계산</t>
  </si>
  <si>
    <t>LCTriggerID_1008_01</t>
  </si>
  <si>
    <t>LCTriggerID_1008_02</t>
  </si>
  <si>
    <t>기억 정령 스킬</t>
  </si>
  <si>
    <t>단일 아군</t>
  </si>
  <si>
    <t>공백 획득</t>
  </si>
  <si>
    <t>LCTriggerID_1008_03</t>
  </si>
  <si>
    <t>적</t>
  </si>
  <si>
    <t>시구 획득</t>
  </si>
  <si>
    <t>LCTriggerID_1008_04</t>
  </si>
  <si>
    <t>공백 보유</t>
  </si>
  <si>
    <t>공백 상태</t>
  </si>
  <si>
    <t>공백·시구 조합에 따른 받는 피해 증가 계산</t>
  </si>
  <si>
    <t>LCTriggerID_1008_05</t>
  </si>
  <si>
    <t>능력치 계산</t>
  </si>
  <si>
    <t>시구 보유</t>
  </si>
  <si>
    <t>시구 상태</t>
  </si>
  <si>
    <t>공백·시구 조합에 따른 치명타 피해 증가 계산</t>
  </si>
  <si>
    <t>LCTriggerID_1009_01</t>
  </si>
  <si>
    <t>치명타 피해·에너지 회복효율 증가</t>
  </si>
  <si>
    <t>LCTriggerID_1009_02</t>
  </si>
  <si>
    <t>능력치 재계산</t>
  </si>
  <si>
    <t>에너지 최대치 변경</t>
  </si>
  <si>
    <t>초과 에너지 기반 추가 회복효율 계산</t>
  </si>
  <si>
    <t>LCTriggerID_1009_03</t>
  </si>
  <si>
    <t>환락 스킬</t>
  </si>
  <si>
    <t>받는 피해 증가 상태 부여</t>
  </si>
  <si>
    <t>LCTriggerID_1010_01</t>
  </si>
  <si>
    <t>LCTriggerID_1010_02</t>
  </si>
  <si>
    <t>일반 공격·전투 스킬·필살기</t>
  </si>
  <si>
    <t>현재 HP 소모·실제 소모량 누적</t>
  </si>
  <si>
    <t>LCTriggerID_1010_03</t>
  </si>
  <si>
    <t>공격 후</t>
  </si>
  <si>
    <t>기억 정령의 다음 공격</t>
  </si>
  <si>
    <t>해당 공격 목표</t>
  </si>
  <si>
    <t>누적 HP 소모량 비례 추가 피해 1회·누적 초기화</t>
  </si>
  <si>
    <t>LCTriggerID_1010_04</t>
  </si>
  <si>
    <t>광추 조건 정의</t>
  </si>
  <si>
    <t>조건 정의 레지스트리입니다. 어느 실행에서 평가할지는 20_스킬 조립 가이드의 조건 ID 리스트가 결정합니다.</t>
  </si>
  <si>
    <t>ID 형식: LCConditionID_1001_01. 비교 대상의 현재값은 런타임이 공급합니다.</t>
  </si>
  <si>
    <t>조건ID</t>
  </si>
  <si>
    <t>조건명</t>
  </si>
  <si>
    <t>비교속성</t>
  </si>
  <si>
    <t>비교연산</t>
  </si>
  <si>
    <t>비교값</t>
  </si>
  <si>
    <t>비교값출처</t>
  </si>
  <si>
    <t>미충족처리</t>
  </si>
  <si>
    <t>LCConditionID_1001_01</t>
  </si>
  <si>
    <t>추가피해증가</t>
  </si>
  <si>
    <t>이번 효과의 실제 HP 소모량</t>
  </si>
  <si>
    <t>초과</t>
  </si>
  <si>
    <t>중첩수치</t>
  </si>
  <si>
    <t>같음은 미충족</t>
  </si>
  <si>
    <t>LCConditionID_1001_02</t>
  </si>
  <si>
    <t>최소HP</t>
  </si>
  <si>
    <t>HP 소모 후 현재 HP</t>
  </si>
  <si>
    <t>이상</t>
  </si>
  <si>
    <t>고정값</t>
  </si>
  <si>
    <t>1 미만으로 내려가지 않음</t>
  </si>
  <si>
    <t>LCConditionID_1002_01</t>
  </si>
  <si>
    <t>유광효과</t>
  </si>
  <si>
    <t>현재 유광 스택</t>
  </si>
  <si>
    <t>미충족 시 방어 무시 없음</t>
  </si>
  <si>
    <t>LCConditionID_1003_01</t>
  </si>
  <si>
    <t>필살기피해</t>
  </si>
  <si>
    <t>현재 출항 스택</t>
  </si>
  <si>
    <t>전투 지원 스킬 피해만 증가</t>
  </si>
  <si>
    <t>LCConditionID_1004_01</t>
  </si>
  <si>
    <t>단일아군행동</t>
  </si>
  <si>
    <t>행동 목표 구성</t>
  </si>
  <si>
    <t>같음</t>
  </si>
  <si>
    <t>그 외 목표면 발동하지 않음</t>
  </si>
  <si>
    <t>LCConditionID_1005_01</t>
  </si>
  <si>
    <t>전투시작동료</t>
  </si>
  <si>
    <t>장착 캐릭터 외 전투 시작 동료 존재</t>
  </si>
  <si>
    <t>참</t>
  </si>
  <si>
    <t>없으면 최고 격파 특수효과 동료 선택</t>
  </si>
  <si>
    <t>LCConditionID_1005_02</t>
  </si>
  <si>
    <t>스킬포인트회복</t>
  </si>
  <si>
    <t>0이면 회복하지 않음</t>
  </si>
  <si>
    <t>LCConditionID_1006_01</t>
  </si>
  <si>
    <t>소환물추가피해</t>
  </si>
  <si>
    <t>방위 보유자의 소환물 보유 여부</t>
  </si>
  <si>
    <t>미보유면 기본 피해 증가만 적용</t>
  </si>
  <si>
    <t>LCConditionID_1007_01</t>
  </si>
  <si>
    <t>추가피해취약</t>
  </si>
  <si>
    <t>장착 캐릭터 현재 격파 특수효과</t>
  </si>
  <si>
    <t>미충족 시 P2만 적용</t>
  </si>
  <si>
    <t>LCConditionID_1008_01</t>
  </si>
  <si>
    <t>공백시구증폭</t>
  </si>
  <si>
    <t>기억 정령의 공백·시구 동시 보유</t>
  </si>
  <si>
    <t>각 상태 기본 효과만 적용</t>
  </si>
  <si>
    <t>LCConditionID_1009_01</t>
  </si>
  <si>
    <t>초과에너지</t>
  </si>
  <si>
    <t>장착 캐릭터 에너지 최대치</t>
  </si>
  <si>
    <t>기본 에너지 회복효율만 적용</t>
  </si>
  <si>
    <t>LCConditionID_1010_01</t>
  </si>
  <si>
    <t>추가피해</t>
  </si>
  <si>
    <t>누적 실제 HP 소모량</t>
  </si>
  <si>
    <t>0이면 추가 피해 없음</t>
  </si>
  <si>
    <t>광추 효과 정의</t>
  </si>
  <si>
    <t>효과 정의 레지스트리입니다. 효과의 사용 위치는 20_스킬 조립 가이드의 효과 ID 리스트가 결정하며 이 표는 원자 효과만 정의합니다.</t>
  </si>
  <si>
    <t>ID 형식: LCEffectID_1001_01. 최종 피해·치유·자원·대상 인스턴스 계산은 런타임 책임입니다.</t>
  </si>
  <si>
    <t>효과ID</t>
  </si>
  <si>
    <t>적용상황</t>
  </si>
  <si>
    <t>효과분류</t>
  </si>
  <si>
    <t>효과항목</t>
  </si>
  <si>
    <t>수치·계산식</t>
  </si>
  <si>
    <t>적용방식</t>
  </si>
  <si>
    <t>비고</t>
  </si>
  <si>
    <t>LCEffectID_1001_01</t>
  </si>
  <si>
    <t>능력치 변경</t>
  </si>
  <si>
    <t>HP 최대치</t>
  </si>
  <si>
    <t>더하기</t>
  </si>
  <si>
    <t>LCEffectID_1001_02</t>
  </si>
  <si>
    <t>받는 치유량</t>
  </si>
  <si>
    <t>LCEffectID_1001_03</t>
  </si>
  <si>
    <t>전투 스킬·필살기 공격 전</t>
  </si>
  <si>
    <t>자원 변경</t>
  </si>
  <si>
    <t>현재 HP</t>
  </si>
  <si>
    <t>최대HP×P2</t>
  </si>
  <si>
    <t>소모</t>
  </si>
  <si>
    <t>최소 1</t>
  </si>
  <si>
    <t>LCEffectID_1001_04</t>
  </si>
  <si>
    <t>같은 공격</t>
  </si>
  <si>
    <t>이번 공격</t>
  </si>
  <si>
    <t>피해 변경</t>
  </si>
  <si>
    <t>가하는 피해</t>
  </si>
  <si>
    <t>실제 소모량&gt;P4이면 P5 추가</t>
  </si>
  <si>
    <t>LCEffectID_1002_01</t>
  </si>
  <si>
    <t>치명타 확률</t>
  </si>
  <si>
    <t>LCEffectID_1002_02</t>
  </si>
  <si>
    <t>추가 공격 후</t>
  </si>
  <si>
    <t>상태 변경</t>
  </si>
  <si>
    <t>유광 스택</t>
  </si>
  <si>
    <t>고정 1</t>
  </si>
  <si>
    <t>최대 P3</t>
  </si>
  <si>
    <t>LCEffectID_1002_03</t>
  </si>
  <si>
    <t>유광 보유 중</t>
  </si>
  <si>
    <t>장착 캐릭터의 필살기 피해</t>
  </si>
  <si>
    <t>목표 방어력</t>
  </si>
  <si>
    <t>P2×현재스택</t>
  </si>
  <si>
    <t>런타임 계산</t>
  </si>
  <si>
    <t>LCEffectID_1002_04</t>
  </si>
  <si>
    <t>고정 1스택</t>
  </si>
  <si>
    <t>해제</t>
  </si>
  <si>
    <t>현재 스택이 0이면 변화 없음</t>
  </si>
  <si>
    <t>LCEffectID_1003_01</t>
  </si>
  <si>
    <t>무시</t>
  </si>
  <si>
    <t>LCEffectID_1003_02</t>
  </si>
  <si>
    <t>에너지</t>
  </si>
  <si>
    <t>회복</t>
  </si>
  <si>
    <t>LCEffectID_1003_03</t>
  </si>
  <si>
    <t>1스택·2턴</t>
  </si>
  <si>
    <t>획득</t>
  </si>
  <si>
    <t>LCEffectID_1003_04</t>
  </si>
  <si>
    <t>출항 보유 중</t>
  </si>
  <si>
    <t>장착 캐릭터의 전투 지원 스킬</t>
  </si>
  <si>
    <t>P4×현재스택</t>
  </si>
  <si>
    <t>LCEffectID_1003_05</t>
  </si>
  <si>
    <t>출항 P5스택 이상</t>
  </si>
  <si>
    <t>장착 캐릭터의 필살기</t>
  </si>
  <si>
    <t>P6×현재스택</t>
  </si>
  <si>
    <t>LCEffectID_1004_01</t>
  </si>
  <si>
    <t>단일 아군 대상 행동</t>
  </si>
  <si>
    <t>LCEffectID_1004_02</t>
  </si>
  <si>
    <t>스킬 목표</t>
  </si>
  <si>
    <t>1스택</t>
  </si>
  <si>
    <t>부여</t>
  </si>
  <si>
    <t>최대 P3·P4턴</t>
  </si>
  <si>
    <t>LCEffectID_1004_03</t>
  </si>
  <si>
    <t>신성한 영창 보유 중</t>
  </si>
  <si>
    <t>상태 보유자</t>
  </si>
  <si>
    <t>LCEffectID_1004_04</t>
  </si>
  <si>
    <t>전투 스킬 포인트</t>
  </si>
  <si>
    <t>횟수 초기화</t>
  </si>
  <si>
    <t>LCEffectID_1005_01</t>
  </si>
  <si>
    <t>격파 특수효과</t>
  </si>
  <si>
    <t>LCEffectID_1005_02</t>
  </si>
  <si>
    <t>선정된 2명</t>
  </si>
  <si>
    <t>격파 피해</t>
  </si>
  <si>
    <t>LCEffectID_1005_03</t>
  </si>
  <si>
    <t>약점 부여 성공</t>
  </si>
  <si>
    <t>필살기 전 최대 1회</t>
  </si>
  <si>
    <t>LCEffectID_1006_01</t>
  </si>
  <si>
    <t>공격력</t>
  </si>
  <si>
    <t>LCEffectID_1006_02</t>
  </si>
  <si>
    <t>치유</t>
  </si>
  <si>
    <t>HP</t>
  </si>
  <si>
    <t>장착자 공격력×P5</t>
  </si>
  <si>
    <t>LCEffectID_1006_03</t>
  </si>
  <si>
    <t>현재 HP 최저 아군</t>
  </si>
  <si>
    <t>장착자 공격력×P6</t>
  </si>
  <si>
    <t>추가 회복</t>
  </si>
  <si>
    <t>LCEffectID_1006_04</t>
  </si>
  <si>
    <t>P4턴</t>
  </si>
  <si>
    <t>LCEffectID_1006_05</t>
  </si>
  <si>
    <t>방위 보유 중</t>
  </si>
  <si>
    <t>방위 보유자</t>
  </si>
  <si>
    <t>소환물 보유 시 P3 추가</t>
  </si>
  <si>
    <t>LCEffectID_1007_01</t>
  </si>
  <si>
    <t>LCEffectID_1007_02</t>
  </si>
  <si>
    <t>필살기 적중 후</t>
  </si>
  <si>
    <t>LCEffectID_1007_03</t>
  </si>
  <si>
    <t>망우 보유 중</t>
  </si>
  <si>
    <t>망우 상태 적</t>
  </si>
  <si>
    <t>받는 피해</t>
  </si>
  <si>
    <t>조건 충족 시 P4 추가</t>
  </si>
  <si>
    <t>LCEffectID_1008_01</t>
  </si>
  <si>
    <t>속도</t>
  </si>
  <si>
    <t>LCEffectID_1008_02</t>
  </si>
  <si>
    <t>기억 정령 스킬→단일 아군</t>
  </si>
  <si>
    <t>고정</t>
  </si>
  <si>
    <t>LCEffectID_1008_03</t>
  </si>
  <si>
    <t>공백 보유 중</t>
  </si>
  <si>
    <t>공백·시구 동시 보유 시 ×(1+P4)</t>
  </si>
  <si>
    <t>LCEffectID_1008_04</t>
  </si>
  <si>
    <t>기억 정령 스킬→적</t>
  </si>
  <si>
    <t>LCEffectID_1008_05</t>
  </si>
  <si>
    <t>시구 보유 중</t>
  </si>
  <si>
    <t>치명타 피해</t>
  </si>
  <si>
    <t>LCEffectID_1009_01</t>
  </si>
  <si>
    <t>LCEffectID_1009_02</t>
  </si>
  <si>
    <t>에너지 회복효율</t>
  </si>
  <si>
    <t>LCEffectID_1009_03</t>
  </si>
  <si>
    <t>에너지 최대치&gt;P5</t>
  </si>
  <si>
    <t>추가 에너지 회복효율</t>
  </si>
  <si>
    <t>floor(min(최대치-P5,P7)/10)×P6</t>
  </si>
  <si>
    <t>런타임 재계산</t>
  </si>
  <si>
    <t>LCEffectID_1009_04</t>
  </si>
  <si>
    <t>P2·P3턴</t>
  </si>
  <si>
    <t>LCEffectID_1010_01</t>
  </si>
  <si>
    <t>LCEffectID_1010_02</t>
  </si>
  <si>
    <t>장착 캐릭터 행동</t>
  </si>
  <si>
    <t>각자 현재HP×P2</t>
  </si>
  <si>
    <t>실제 소모량 합계 누적</t>
  </si>
  <si>
    <t>LCEffectID_1010_03</t>
  </si>
  <si>
    <t>기억 정령 다음 공격 후</t>
  </si>
  <si>
    <t>추가 피해</t>
  </si>
  <si>
    <t>누적량×P6</t>
  </si>
  <si>
    <t>1회 피해</t>
  </si>
  <si>
    <t>적용 후 누적량 0</t>
  </si>
  <si>
    <t>LCEffectID_1010_04</t>
  </si>
  <si>
    <t>P4·P5턴</t>
  </si>
  <si>
    <t>광추 정의 테이블</t>
  </si>
  <si>
    <t>광추는 스킬 ID 하나만 참조합니다. 노드·효과 등 실행 세부사항은 스킬 정의에서 시작합니다.</t>
  </si>
  <si>
    <t>실행 관계: 광추ID → 스킬 ID → 실행 노드 ID 리스트 → 효과 ID 리스트</t>
  </si>
  <si>
    <t>광추명</t>
  </si>
  <si>
    <t>운명의 길</t>
  </si>
  <si>
    <t>희귀도</t>
  </si>
  <si>
    <t>최대 승급 단계</t>
  </si>
  <si>
    <t>최대 중첩 단계</t>
  </si>
  <si>
    <t>경험치 유형</t>
  </si>
  <si>
    <t>스킬 ID</t>
  </si>
  <si>
    <t>원본 스킬 ID</t>
  </si>
  <si>
    <t>스탯 ID</t>
  </si>
  <si>
    <t>아이템 Desc</t>
  </si>
  <si>
    <t>광추 설정 Desc</t>
  </si>
  <si>
    <t>아이템 유형</t>
  </si>
  <si>
    <t>최대보유수</t>
  </si>
  <si>
    <t>승급 시 필요 아이템</t>
  </si>
  <si>
    <t>중첩 시 필요 아이템</t>
  </si>
  <si>
    <t>일러스트경로</t>
  </si>
  <si>
    <t>아이템아이콘경로</t>
  </si>
  <si>
    <t>파멸</t>
  </si>
  <si>
    <t>5성</t>
  </si>
  <si>
    <t>LCSkillID_1001</t>
  </si>
  <si>
    <t>파멸 운명의 길 전용 광추. 광추 스킬은 해당 운명의 길에만 적용된다</t>
  </si>
  <si>
    <t>차가운 이슬이 칼끝에 맺히고, 칼을 타고 떨어지면서 핏빛 흔적을 남긴다.
녹슨향이 나는 황야 속, 격전으로 불타오른 불길이 여전히 잿더미 위에서 춤을 추고 있다.
「마이데이모스 님, 방금 그 전투는 마치 신과도 같았어요!」
윗옷을 벗은 전사는 무기를 닦으며 흥분한 채 외쳤다.
「마이데이 님, 앞으로 저도 마이데이 님처럼 백전백승할래요!」
아이는 부러진 검을 쥔 채, 존경심에 찬 눈빛으로 그를 바라보았다.
「왕세자님, 크렘노스로 돌아갈 날이 얼마 남지 않았습니다」
오랜 세월을 겪은 노인이 웃으며 술잔을 들고 그에게 인사를 올렸다.
그는 고개를 끄덕이고는, 계속 야영지 경계선으로 향했다.
환생의 고통이 여전히 피부 위를 휘저었다. 내일, 그는 크렘노스 고군을 이끌고 다시 타지로 떠날 것이다.
언제까지 정처 없이 떠돌아다닐지 알 수 없었으나, 그가 확신할 수 있는 건 피의 불꽃이 전부 타버릴 때까지 왕의 책임을 짊어지리라는 것이다.
밤이 점점 더 깊어지자, 그는 홀로 피의 술을 들이켰고, 지나가는 음유시인이 현을 울리자 불안정한 노랫소리가 허공에 울려 퍼졌다——
「고향은 꿈의 땅이지, 닿을 수 있는 곳이 아니야」</t>
  </si>
  <si>
    <t>장비</t>
  </si>
  <si>
    <t>self</t>
  </si>
  <si>
    <t>SpriteOutput/LightConeMaxFigures/LC_1001.png</t>
  </si>
  <si>
    <t>SpriteOutput/ItemIcon/LightConeIcons/LC_1001.png</t>
  </si>
  <si>
    <t>정복하고 사냥하리</t>
  </si>
  <si>
    <t>수렵</t>
  </si>
  <si>
    <t>LCSkillID_1002</t>
  </si>
  <si>
    <t>수렵 운명의 길 전용 광추. 광추 스킬은 해당 운명의 길에만 적용된다</t>
  </si>
  <si>
    <t>「가엽고 가소로운 노예들이여……」
수많은 풍요의 백성 군대가 경계선으로 몰려오고, 늑대 독은 홍수처럼 청구군을 집어삼키며 군인들 마음속 깊이 숨겨진 공포를 불러일으키려 한다. 다양한 공포로 이루어진 환상은 군인들이 무기를 내려놓고 주저하게 만들었다.
그러나 전선은 철통같은 방비로 보리인의 경멸의 소리에도 흔들리지 않았다. 그때 그림자 하나가 천천히 걸어 나왔다.
그녀가 천천히 몸을 움직이자, 눈에 보이지 않는 살기에 깃발이 흔들렸다.
「장군님, 장군님이 오셨다……」
「비소 장군님……」
「『천격』 장군!」
작은 외침이 모여 하늘을 울리는 함성이 되었다.
「추락하지 않고, 만고불변의 승리를 이어가리!」
그녀는 그곳에 홀로 서 있었지만, 그 모습은 마치 하나의 군대 같았다</t>
  </si>
  <si>
    <t>SpriteOutput/LightConeMaxFigures/LC_1002.png</t>
  </si>
  <si>
    <t>SpriteOutput/ItemIcon/LightConeIcons/LC_1002.png</t>
  </si>
  <si>
    <t>별이 밤하늘을 밝힐 때</t>
  </si>
  <si>
    <t>지식</t>
  </si>
  <si>
    <t>LCSkillID_1003</t>
  </si>
  <si>
    <t>지식 운명의 길 전용 광추. 광추 스킬은 해당 운명의 길에만 적용된다</t>
  </si>
  <si>
    <t>어린 시절을 돌아보면, 처음으로 「개척」에 관한 모험 이야기를 들었던 때가 떠오른다.
조그만 심장은 우주의 신비로움과 광활함에 두근거렸고, 그녀는 붓을 들어 우주에 대한 최초의 상상을 그려냈다.
「한 척의 혜성선, 한 개의 은하 궤도, 한 명의 항법사…」
「이러면 개척의 가능성이 생기는 거겠지?」
하지만 저주는 그녀의 발걸음을 늦췄고, 병상은 그녀의 청춘을 가두었다.
고독한 시간 속에서 높이 쌓인 서적, 어지러운 엔진 설계도, 빈 물감 통이 일상이 되었다.
수척해진 모습으로 붓을 놀리며, 그녀가 그리던 꿈을 세밀하게 그려 나갔다.
「어쩌면 제한된 시간 속에서 더 많은 가능성을 쟁취할 수 있을지도 몰라」
「꿈일지라도, 색채로 밝힐 가치는 있으니까」
별의 궤적이 다시금 흐르자, 눈을 감고 다시 뜨는 사이 그녀는 이미 출발하여 뭇별로 향하는 여정에 올랐다.
친구와 함께 품었던 소원을 짊어지고, 꿈꾸던 자신이 되었다.
「개척의 여정은 지금 이 순간 시작될 거야」
열차는 우주 사이를 누비고, 항법사와 동료가 함께한 발자취는 굳건한 은하 궤도를 이룬다.
「함께 뭇별이 있는 미래에 도달하자!」</t>
  </si>
  <si>
    <t>SpriteOutput/LightConeMaxFigures/LC_1003.png</t>
  </si>
  <si>
    <t>SpriteOutput/ItemIcon/LightConeIcons/LC_1003.png</t>
  </si>
  <si>
    <t>대지로 돌아온 비행</t>
  </si>
  <si>
    <t>화합</t>
  </si>
  <si>
    <t>LCSkillID_1004</t>
  </si>
  <si>
    <t>화합 운명의 길 전용 광추. 광추 스킬은 해당 운명의 길에만 적용된다</t>
  </si>
  <si>
    <t>허망한 망상은 산산이 부서졌다. 그는 만물의 태양이 되려고 했지만, 하늘에서 추락했다.
「고통이 무엇인지 느껴지나?」
그의 마음속에서 또 다른 목소리가 말했다.
「그게 바로 내가 느껴야 하는 것이야」
먼지 속으로 떨어진 그는 무거운 발걸음으로 대답했다.
그는 대지를 걸으며 인간 세상을 뒤덮은 괴로움을 또다시 보았다. 그것은 끊임없이 샘솟는 샘물 같았다.
그는 길을 막는 가시를 넘고, 평범한 사람들의 부르짖음을 들었다. 그는 고통을 견디고 고요를 얻었다.
「추락은, 비상의 또 다른 이름이지」
여덟째 날, 그는 자신에게 「시작」을 주었다</t>
  </si>
  <si>
    <t>SpriteOutput/LightConeMaxFigures/LC_1004.png</t>
  </si>
  <si>
    <t>SpriteOutput/ItemIcon/LightConeIcons/LC_1004.png</t>
  </si>
  <si>
    <t>그녀의 불꽃을 잊지 말라</t>
  </si>
  <si>
    <t>공허</t>
  </si>
  <si>
    <t>LCSkillID_1005</t>
  </si>
  <si>
    <t>공허 운명의 길 전용 광추. 광추 스킬은 해당 운명의 길에만 적용된다</t>
  </si>
  <si>
    <t>「자, 내 곁으로 와…」
한 줄기 생생한 기억이 화염에 이끌려 그녀의 몸과 마음을 감싼다.
과거는 무덤 속으로 빠져들었다. 과연 그것이 진실일까?
「쉿, 흐느끼지 말고, 거부하지도 마……」
그녀는 자신을 타인의 마음에 새겼다. 낯선 눈빛이 점차 익숙해졌다.
「기억났니?」
오래된 기억의 잔재가 모두 흩어지고, 얼굴에 매혹적인 꽃향기가 스친다——
「내가, 바로 너의 기억이야」</t>
  </si>
  <si>
    <t>SpriteOutput/LightConeMaxFigures/LC_1005.png</t>
  </si>
  <si>
    <t>SpriteOutput/ItemIcon/LightConeIcons/LC_1005.png</t>
  </si>
  <si>
    <t>끝없는 산과 강을 거치더라도</t>
  </si>
  <si>
    <t>보존</t>
  </si>
  <si>
    <t>LCSkillID_1006</t>
  </si>
  <si>
    <t>보존 운명의 길 전용 광추. 광추 스킬은 해당 운명의 길에만 적용된다</t>
  </si>
  <si>
    <t>끝없이 펼쳐진 태고의 땅에서, 소년은 홀로 찾아 나서는 여정에 올랐다.
그는 떠돌던 그 시절로 돌아간 듯했다. 파도를 헤치고 비바람을 견디며, 거대한 괴수와 싸우고 거친 물결에 맞서 몸부림쳤다.
하지만 잠시 숨을 고르던 그 순간, 그는 결코 외롭지 않았다.
설령 끝없는 산과 강을 거쳐야 하더라도, 그는 여전히 저 너머의 빛을 볼 수 있었다——
그것은 수많은 생령들의 기대였다.
부서진 대지가 더 이상 새 생명을 품을 수 없게 되자, 그들은 위로와 보호를 구하고자 그의 곁에 모여들었다.
그것은 또한 동료들이 그의 마음 깊은 곳에 남긴 말들이었다. 그 말들은 마치 끝없이 이어지는 항로처럼, 그들을 굳건히 이어주었다.
그를 괴롭히던 과거 역시 바람과 함께 떠올랐지만, 걸어온 길은 결국 새로운 모습으로 탈바꿈하는 힘이 되어줄 것이다.
「난 개척의 길을 지키고」
소년은 창을 들고 날아올라 빛을 향해 전진했다——
「사라져가는 모든 희망을 수호하리라!」</t>
  </si>
  <si>
    <t>SpriteOutput/LightConeMaxFigures/LC_1006.png</t>
  </si>
  <si>
    <t>SpriteOutput/ItemIcon/LightConeIcons/LC_1006.png</t>
  </si>
  <si>
    <t>오직 향만이 변함없이</t>
  </si>
  <si>
    <t>풍요</t>
  </si>
  <si>
    <t>LCSkillID_1007</t>
  </si>
  <si>
    <t>풍요 운명의 길 전용 광추. 광추 스킬은 해당 운명의 길에만 적용된다</t>
  </si>
  <si>
    <t>「첫째, 업무 습관을 정비할 것」
「둘째, 보상 및 처벌 규정을 엄격히 이행할 것」
「물론 가장 중요한 건 복잡하게 얽힌 이해관계를 최대한 빨리 밝혀내는 것……」
호수와 푸른 산이 어우러진 아름다운 경치를 보고 있었는데, 자신도 모르는 사이에 또 업무에 대해 생각하고 있었고, 스트레스와 짜증이 함께 몰려왔다.
그녀는 서둘러 몸에 지니고 있던 안정향을 피웠다.
「세상은 이렇게나 아름다운데, 난 성질이나 부리고 있구나…. 휴일에는 그런 귀찮은 일들을 생각하지 말자……」</t>
  </si>
  <si>
    <t>SpriteOutput/LightConeMaxFigures/LC_1007.png</t>
  </si>
  <si>
    <t>SpriteOutput/ItemIcon/LightConeIcons/LC_1007.png</t>
  </si>
  <si>
    <t>이 순간처럼 영원한 사랑</t>
  </si>
  <si>
    <t>기억</t>
  </si>
  <si>
    <t>LCSkillID_1008</t>
  </si>
  <si>
    <t>기억 운명의 길 전용 광추. 광추 스킬은 해당 운명의 길에만 적용된다</t>
  </si>
  <si>
    <t>푸른 하늘이 찬란한 내일을 비춘다.
한 걸음, 두 걸음… 소녀가 걸어온 길은 너무나 길었지만, 다행히 그 소중한 이야기들은 돌고 도는 세월 속에서도 잊히지 않았다.
이제, 모두가 함께 써 내려간 서사시는 마침내 완성되어 끝을 맞이했다.
반짝이는 별들, 만발한 꽃, 날아가는 새, 아름다운 신세계.
얇은 베일, 화환, 드레스, 축복을 전하는 바람.
삼천만 세월 동안의 추구가 마침내 행복이 된 순간은 영원한 천 마디 말보다 더 값진 것이 되었다.
「헤헤, 약속이야……」
소녀는 뒤돌아보며 살며시 미소 지었다.
「한 사람은 과거에 남고, 한 사람은 미래로 향하지만… 우리의 마음은 절대 떨어지지 않을 거야♪」
그녀는 발끝을 살짝 들어 올린 채 과거 속으로 걸어 들어갔다——
그리고 기억은 과거의 물결이 되어, 잔잔하게 내일을 향해 퍼져나갔다</t>
  </si>
  <si>
    <t>SpriteOutput/LightConeMaxFigures/LC_1008.png</t>
  </si>
  <si>
    <t>SpriteOutput/ItemIcon/LightConeIcons/LC_1008.png</t>
  </si>
  <si>
    <t>다음 꽃피는 계절의 만남</t>
  </si>
  <si>
    <t>환락</t>
  </si>
  <si>
    <t>LCSkillID_1009</t>
  </si>
  <si>
    <t>환락 운명의 길 전용 광추. 광추 스킬은 해당 운명의 길에만 적용된다</t>
  </si>
  <si>
    <t>살랑이는 바람이 새하얀 커튼을 스치자 소녀의 생각도 함께 흔들렸다.
그녀는 창밖에서 웃고 떠드는 사람들을 바라보았고, 그림을 그리던 펜은 자신도 모르게 어느 한 곳에 멈춰 섰다.
「여기에 앉아 있는 게… 몇 번째지?」
순간 흩날리는 꽃잎이 그녀의 코끝을 스쳐 지나갔다. 마치 응답하듯, 무언가를 일깨우듯.
성대한 게임, 단 한 번뿐인 만남, 꽃이 피고 지는 나날들……
그녀는 자신과 이 땅의 이야기를 떠올렸다. 아무것도 없던 공백에서 다채로운 색으로 채워지기까지, 잠들 때마다 그녀는 내일이 오기를 기대했다.
「앗, 만화가 업데이트됐네. 우리 귀염둥이들을 다 그리고 나면 보러 가야지……」
알림을 받은 소녀는 귀를 쫑긋거리더니, 멈췄던 펜 끝을 다시 움직이기 시작했다.
「소원… 다음 꽃이 피는 계절엔 평점 높은 신작들을 전부 정주행할 거야!」</t>
  </si>
  <si>
    <t>SpriteOutput/LightConeMaxFigures/LC_1009.png</t>
  </si>
  <si>
    <t>SpriteOutput/ItemIcon/LightConeIcons/LC_1009.png</t>
  </si>
  <si>
    <t>무지개가 영원히 하늘에 머물길</t>
  </si>
  <si>
    <t>LCSkillID_1010</t>
  </si>
  <si>
    <t>「감정은 구름과 같고, 우리는 감정을 품은 하늘이에요. 하늘에 먹구름이 짙게 드리우면, 마음은 불안해지죠」
의사는 환자의 고충에 친절하게 귀를 기울이며, 치유의 말을 건넸다.
「두 눈을 감고 천천히 숨을 쉬세요…. 자신이 따뜻하고 부드러운 곳에 있다고 상상해 보세요……」
말에 마법의 힘이 담긴 듯, 날개 환수의 두 날개 아래에 무지갯빛이 흩뿌려졌다.
「산들바람이 들판을 타고 온화한 꽃향기를 가져온다. 젖은 구름이 지나가고 햇살로 가득 찬다……」
환자는 점점 아름다운 꿈에 빠졌고, 규칙적이고도 작은 숨소리만 냈다.
마지막 환자를 진찰한 후, 의사는 가볍게 병실의 문을 닫았다.
끝없는 영원한 밤이 먼 곳에서 밀려오고, 폐허들은 마치 대지의 상처와도 같았다.
「내세에는 여명이 모두를 비추고…」
떠나기 전, 그녀는 하늘에 소원을 빌었다——
「하늘에 무지갯빛이 영원히 머물길」</t>
  </si>
  <si>
    <t>SpriteOutput/LightConeMaxFigures/LC_1010.png</t>
  </si>
  <si>
    <t>SpriteOutput/ItemIcon/LightConeIcons/LC_1010.png</t>
  </si>
  <si>
    <t>광추 스킬 정의</t>
  </si>
  <si>
    <t>스킬은 표시 정보와 실행 노드 ID 리스트만 소유합니다. 수치·조건·효과·상태는 노드 아래에서 조립됩니다.</t>
  </si>
  <si>
    <t>어빌리티·스킬 수치·직접 속성 목록을 제거했습니다. 실행 노드 목록이 유일한 실행 진입점입니다.</t>
  </si>
  <si>
    <t>스킬ID</t>
  </si>
  <si>
    <t>스킬명</t>
  </si>
  <si>
    <t>실행 노드 ID 리스트</t>
  </si>
  <si>
    <t>실행노드수</t>
  </si>
  <si>
    <t>스킬 Desc</t>
  </si>
  <si>
    <t>조망</t>
  </si>
  <si>
    <t>LCNodeID_1001_01 | LCNodeID_1001_02</t>
  </si>
  <si>
    <t>장착한 캐릭터의 HP 최대치가 #1[i]% 증가하고, 받는 치유량이 #6[i]% 증가한다. 전투 스킬 또는 필살기 발동 시 자신의 HP 최대치의 #2[f1]%만큼 HP를 소모해 이번 공격으로 가하는 피해를 #3[i]% 증가시킨다. 해당 효과로 소모된 HP가 #4[i]pt보다 높을 경우 피해가 추가로 #5[i]% 증가한다.
현재 HP가 부족하면 해당 효과는 장착한 캐릭터의 현재 HP를 최대 1pt까지 감소시킨다</t>
  </si>
  <si>
    <t>진섭</t>
  </si>
  <si>
    <t>LCNodeID_1002_01 | LCNodeID_1002_02 | LCNodeID_1002_03 | LCNodeID_1002_04</t>
  </si>
  <si>
    <t>장착한 캐릭터의 치명타 확률이 #1[f1]% 증가한다. 장착한 캐릭터가 추가 공격 발동 시 [유광]을 1스택 획득한다, 최대 중첩수: #3[i]스택. [유광] 1스택마다 장착한 캐릭터가 가하는 필살기 피해가 목표의 방어력을 #2[i]% 무시한다. 장착한 캐릭터의 턴 종료 시 [유광]이 1스택 해제된다</t>
  </si>
  <si>
    <t>최초의 소원</t>
  </si>
  <si>
    <t>LCNodeID_1003_01 | LCNodeID_1003_02 | LCNodeID_1003_03 | LCNodeID_1003_04</t>
  </si>
  <si>
    <t>장착한 캐릭터가 피해를 가할 시 목표의 방어력을 #7[i]% 무시한다. 장착한 캐릭터가 전투 지원 스킬 발동 시 에너지를 #2[i]pt 회복하고 [출항]을 획득한다, 지속 시간: 2턴, 최대 중첩수: #3[i]스택. [출항] 스택당 전투 지원 스킬 피해가 #4[i]% 증가하며, [출항] #5[i]스택 도달 시 [출항] 스택당 필살기 피해가 #6[i]% 증가한다</t>
  </si>
  <si>
    <t>재출발</t>
  </si>
  <si>
    <t>LCNodeID_1004_01 | LCNodeID_1004_02 | LCNodeID_1004_03</t>
  </si>
  <si>
    <t>장착한 캐릭터가 단일 아군 캐릭터에게 전투 스킬 또는 필살기를 발동하면 장착한 캐릭터는 에너지를 #1[f1]pt 회복하고, 스킬 목표는 [신성한 영창]을 1스택 획득한다, 지속 시간: #4[i]턴, 최대 중첩수: #3[i]스택. [신성한 영창] 1스택마다 보유자가 가하는 피해가 #2[i]% 증가한다. 장착한 캐릭터가 단일 아군 캐릭터에게 전투 스킬 또는 필살기를 #5[i]회 발동할 때마다 전투 스킬 포인트를 1pt 회복한다</t>
  </si>
  <si>
    <t>분신</t>
  </si>
  <si>
    <t>LCNodeID_1005_01 | LCNodeID_1005_02 | LCNodeID_1005_03 | LCNodeID_1005_04</t>
  </si>
  <si>
    <t>장착한 캐릭터의 격파 특수효과가 #1[i]% 증가한다. 전투 진입 시 장착한 캐릭터와 전투를 시작한 다른 동료가 가하는 격파 피해가 #2[i]% 증가한다. 전투를 시작한 동료가 없을 경우, 장착한 캐릭터와 격파 특수효과가 가장 높은 동료에게 효과가 적용된다. 같은 유형의 효과는 중첩되지 않는다. 장착한 캐릭터가 적에게 약점 부여 시 전투 스킬 포인트를 1pt 회복하고, 해당 효과는 최대 1회 발동할 수 있으며, 필살기 발동 시 발동 가능 횟수가 초기화된다</t>
  </si>
  <si>
    <t>새로운 비늘</t>
  </si>
  <si>
    <t>LCNodeID_1006_01 | LCNodeID_1006_02 | LCNodeID_1006_03</t>
  </si>
  <si>
    <t>장착한 캐릭터의 공격력이 #1[i]% 증가한다. 장착한 캐릭터가 필살기 발동 시, 모든 아군의 HP를 장착한 캐릭터 공격력의 #5[i]%만큼 회복하고, 추가로 현재 HP가 가장 낮은 아군 캐릭터의 HP를 장착한 캐릭터 공격력의 #6[i]%만큼 회복하며, 모든 아군이 [방위]를 획득한다, [방위] 지속 시간: #4[i]턴. [방위]를 획득한 목표는 가하는 피해가 #2[i]% 증가하며, 목표가 소환물을 보유한 경우 가하는 피해가 추가로 #3[i]% 증가한다</t>
  </si>
  <si>
    <t>안심</t>
  </si>
  <si>
    <t>LCNodeID_1007_01 | LCNodeID_1007_02 | LCNodeID_1007_03</t>
  </si>
  <si>
    <t>장착한 캐릭터의 격파 특수효과가 #1[i]% 증가한다. 장착한 캐릭터가 필살기를 발동하여 적 공격 후 해당 적을 [망우] 상태에 빠트린다, 지속 시간: #5[i]턴. [망우] 상태의 적은 받는 피해가 #2[i]% 증가하고, 장착한 캐릭터의 현재 격파 특수효과가 #3[i]% 이상이면 받는 피해 증가 효과가 추가로 #4[i]% 증가한다</t>
  </si>
  <si>
    <t>서약</t>
  </si>
  <si>
    <t>LCNodeID_1008_01 | LCNodeID_1008_02 | LCNodeID_1008_03 | LCNodeID_1008_04 | LCNodeID_1008_05</t>
  </si>
  <si>
    <t>장착한 캐릭터의 속도가 #1[i]% 증가한다. 장착한 캐릭터의 기억 정령이 단일 아군에게 기억 정령 스킬 발동 시 [공백]을 획득한다. [공백]: 모든 적이 받는 피해가 #3[i]% 증가한다. 장착한 캐릭터의 기억 정령이 적에게 기억 정령 스킬 발동 시 [시구]를 획득한다. [시구]: 모든 아군의 치명타 피해가 #2[i]% 증가한다. 장착한 캐릭터의 기억 정령이 [공백]과 [시구]를 동시에 보유할 시 [공백]과 [시구]의 효과가 #4[i]% 증가한다</t>
  </si>
  <si>
    <t>사색</t>
  </si>
  <si>
    <t>LCNodeID_1009_01 | LCNodeID_1009_02 | LCNodeID_1009_03</t>
  </si>
  <si>
    <t>장착한 캐릭터의 치명타 피해가 #1[i]% 증가하고, 에너지 회복효율이 #4[f1]% 증가한다. 장착한 캐릭터의 에너지 최대치가 #5[i]보다 높을 시, 초과한 에너지 최대치 10pt당 에너지 회복효율이 추가로 #6[f1]% 증가하며, 초과한 에너지 최대치는 최대 #7[i]pt까지 계산한다. 장착한 캐릭터가 환락 스킬을 발동하면 모든 적이 받는 피해가 #2[f1]% 증가한다, 지속 시간: #3[i]턴, 같은 유형의 효과는 중첩되지 않는다</t>
  </si>
  <si>
    <t>포용</t>
  </si>
  <si>
    <t>LCNodeID_1010_01 | LCNodeID_1010_02 | LCNodeID_1010_03 | LCNodeID_1010_04</t>
  </si>
  <si>
    <t>장착한 캐릭터의 속도가 #1[i]% 증가한다. 장착한 캐릭터가 일반 공격, 전투 스킬, 필살기 발동 시 모든 아군의 HP를 현재 HP의 #2[f1]%만큼 소모하고, 장착한 캐릭터의 기억 정령은 다음번 공격 후 추가로 공격 목표에게 장착한 캐릭터의 기억 정령 속성에 기반한 추가 피해를 HP 총 소모량의 #6[f1]%만큼 1회 가하며, 이후 HP 총 소모량을 초기화한다. 장착한 캐릭터의 기억 정령이 기억 정령 스킬 발동 시, 모든 적이 받는 피해가 #4[f1]% 증가한다, 지속 시간: #5[i]턴. 같은 유형의 효과는 중첩되지 않는다</t>
  </si>
  <si>
    <t>광추 스킬 구조 노트</t>
  </si>
  <si>
    <t>최종 실행 구조는 스킬 → 노드 → 효과입니다. 발동·조건·상태·수치는 노드를 구성하는 의존 정의입니다.</t>
  </si>
  <si>
    <t>Ability는 스타레일 원본 엔진 추적에는 의미가 있지만, 현재 설계에서는 스킬과 1:1이고 별도 책임이 없어 제거했습니다.</t>
  </si>
  <si>
    <t>계층</t>
  </si>
  <si>
    <t>정의 시트</t>
  </si>
  <si>
    <t>소유 데이터</t>
  </si>
  <si>
    <t>참조 대상</t>
  </si>
  <si>
    <t>책임</t>
  </si>
  <si>
    <t>두지 않는 데이터</t>
  </si>
  <si>
    <t>광추</t>
  </si>
  <si>
    <t>01_광추 정의 테이블</t>
  </si>
  <si>
    <t>09_스킬 정의 테이블</t>
  </si>
  <si>
    <t>아이템과 장착 스킬 연결</t>
  </si>
  <si>
    <t>노드·효과·전투 상태</t>
  </si>
  <si>
    <t>스킬</t>
  </si>
  <si>
    <t>11_스킬 노드 정의</t>
  </si>
  <si>
    <t>표시명·설명·실행 진입점</t>
  </si>
  <si>
    <t>어빌리티·수치 목록·직접속성 목록</t>
  </si>
  <si>
    <t>노드</t>
  </si>
  <si>
    <t>발동ID·조건/효과/상태/수치 ID 리스트</t>
  </si>
  <si>
    <t>21·23·24·25·26</t>
  </si>
  <si>
    <t>한 번의 실행 단위 조립</t>
  </si>
  <si>
    <t>현재값·대상 인스턴스·최종 결과</t>
  </si>
  <si>
    <t>효과</t>
  </si>
  <si>
    <t>26_효과정의</t>
  </si>
  <si>
    <t>효과 규칙·계산식</t>
  </si>
  <si>
    <t>노드가 참조</t>
  </si>
  <si>
    <t>실제 변화의 원자 정의</t>
  </si>
  <si>
    <t>발동 시점·현재 상태</t>
  </si>
  <si>
    <t>런타임</t>
  </si>
  <si>
    <t>클라이언트/서버</t>
  </si>
  <si>
    <t>현재 중첩·HP·스택·잔여 턴·대상</t>
  </si>
  <si>
    <t>정적 정의 조회</t>
  </si>
  <si>
    <t>이벤트 처리와 최종 계산</t>
  </si>
  <si>
    <t>정적 콘텐츠 원본</t>
  </si>
  <si>
    <t>결정ID</t>
  </si>
  <si>
    <t>결정</t>
  </si>
  <si>
    <t>선택 이유</t>
  </si>
  <si>
    <t>제외한 구조</t>
  </si>
  <si>
    <t>구현 규칙</t>
  </si>
  <si>
    <t>검증</t>
  </si>
  <si>
    <t>ARCH-01</t>
  </si>
  <si>
    <t>Ability 계층 제거</t>
  </si>
  <si>
    <t>스킬과 1:1이며 별도 재사용·수명주기·상태가 없음</t>
  </si>
  <si>
    <t>스킬 → Ability → 노드</t>
  </si>
  <si>
    <t>스킬이 실행 노드 목록을 직접 소유</t>
  </si>
  <si>
    <t>LCAbilityID 참조 0건</t>
  </si>
  <si>
    <t>ARCH-02</t>
  </si>
  <si>
    <t>수치 목록을 스킬에서 제거</t>
  </si>
  <si>
    <t>어느 실행에서 쓰이는지가 노드에 이미 명시됨</t>
  </si>
  <si>
    <t>스킬과 노드 양쪽에 중복 목록</t>
  </si>
  <si>
    <t>노드의 스킬 수치 ID 리스트만 관계 원본</t>
  </si>
  <si>
    <t>모든 수치가 노드에서 참조</t>
  </si>
  <si>
    <t>ARCH-03</t>
  </si>
  <si>
    <t>직접속성을 실행 구조에서 제거</t>
  </si>
  <si>
    <t>효과 정의와 의미·값이 중복됨</t>
  </si>
  <si>
    <t>스킬이 직접속성 목록을 소유</t>
  </si>
  <si>
    <t>효과와 Param을 실행 원본으로 사용하고 22 시트는 감사용</t>
  </si>
  <si>
    <t>직접속성 실행 참조 0건</t>
  </si>
  <si>
    <t>ARCH-04</t>
  </si>
  <si>
    <t>노드 시트를 핵심 정의로 유지</t>
  </si>
  <si>
    <t>스킬 동작 한 단위를 한 행에서 추적 가능</t>
  </si>
  <si>
    <t>가이드와 노드 정의 중복</t>
  </si>
  <si>
    <t>11_스킬 노드 정의만 실행 노드를 소유</t>
  </si>
  <si>
    <t>스킬 노드 목록과 1:N 완전 연결</t>
  </si>
  <si>
    <t>ARCH-05</t>
  </si>
  <si>
    <t>목록은 엑셀 저작용</t>
  </si>
  <si>
    <t>기획자가 한 행에서 전체 구성을 읽을 수 있음</t>
  </si>
  <si>
    <t>자식 FK만으로 역추적</t>
  </si>
  <si>
    <t>배포 시 배열 또는 링크 레코드로 컴파일</t>
  </si>
  <si>
    <t>누락·중복·미사용 정의 시 빌드 실패</t>
  </si>
  <si>
    <t>현재 행</t>
  </si>
  <si>
    <t>읽는 필드</t>
  </si>
  <si>
    <t>참조값</t>
  </si>
  <si>
    <t>다음 시트</t>
  </si>
  <si>
    <t>결과</t>
  </si>
  <si>
    <t>조망의 실행 단위 2개 로드</t>
  </si>
  <si>
    <t>LCNodeID_1001_02</t>
  </si>
  <si>
    <t>24_발동정의</t>
  </si>
  <si>
    <t>전투 스킬·필살기 공격 전 구독</t>
  </si>
  <si>
    <t>조건 ID 리스트</t>
  </si>
  <si>
    <t>LCConditionID_1001_01, LCConditionID_1001_02</t>
  </si>
  <si>
    <t>25_조건정의</t>
  </si>
  <si>
    <t>HP 하한·500pt 초과 판정</t>
  </si>
  <si>
    <t>효과 ID 리스트</t>
  </si>
  <si>
    <t>LCEffectID_1001_03, LCEffectID_1001_04</t>
  </si>
  <si>
    <t>HP 소모 후 피해 증가</t>
  </si>
  <si>
    <t>스킬 수치 ID 리스트</t>
  </si>
  <si>
    <t>LCSkillID_1001_Param02, LCSkillID_1001_Param03, LCSkillID_1001_Param04, LCSkillID_1001_Param05</t>
  </si>
  <si>
    <t>21_중첩수치</t>
  </si>
  <si>
    <t>현재 중첩 단계의 P2~P5 선택</t>
  </si>
  <si>
    <t>광추 스킬 노드 정의</t>
  </si>
  <si>
    <t>스킬을 구성하는 핵심 실행 단위입니다. 각 노드가 발동·조건·효과·상태·수치를 한 행에서 완전히 조립합니다.</t>
  </si>
  <si>
    <t>스킬은 실행 노드 ID 리스트만 소유합니다. 노드가 어떤 효과를 언제 어떤 수치로 실행하는지 결정합니다.</t>
  </si>
  <si>
    <t>실행노드ID</t>
  </si>
  <si>
    <t>노드순서</t>
  </si>
  <si>
    <t>노드명</t>
  </si>
  <si>
    <t>상태 ID 리스트</t>
  </si>
  <si>
    <t>고정값·처리</t>
  </si>
  <si>
    <t>실행순서설명</t>
  </si>
  <si>
    <t>런타임책임</t>
  </si>
  <si>
    <t>LCNodeID_1001_01</t>
  </si>
  <si>
    <t>상시 능력치</t>
  </si>
  <si>
    <t>없음</t>
  </si>
  <si>
    <t>LCEffectID_1001_01, LCEffectID_1001_02</t>
  </si>
  <si>
    <t>LCSkillID_1001_Param01, LCSkillID_1001_Param06</t>
  </si>
  <si>
    <t>장착 시 최대 HP와 받는 치유량 보정치를 등록한다.</t>
  </si>
  <si>
    <t>최종 능력치 재계산</t>
  </si>
  <si>
    <t>완전 연결</t>
  </si>
  <si>
    <t>전투 스킬·필살기 공격</t>
  </si>
  <si>
    <t>공격 직전 HP를 소모하고 실제 소모량을 판정해 같은 공격의 피해 증가량을 결정한다.</t>
  </si>
  <si>
    <t>현재 HP·실제 소모량·최종 피해</t>
  </si>
  <si>
    <t>LCNodeID_1002_01</t>
  </si>
  <si>
    <t>장착 시 치명타 확률 보정치를 등록한다.</t>
  </si>
  <si>
    <t>LCNodeID_1002_02</t>
  </si>
  <si>
    <t>추가 공격 후 유광 획득</t>
  </si>
  <si>
    <t>추가 공격 완료 이벤트에서 유광을 1스택 부여한다.</t>
  </si>
  <si>
    <t>LCNodeID_1002_03</t>
  </si>
  <si>
    <t>유광 보유 중 필살기</t>
  </si>
  <si>
    <t>필살기 피해 계산 시 현재 유광 스택을 읽어 방어 무시를 적용한다.</t>
  </si>
  <si>
    <t>현재 스택·피해 대상 방어력</t>
  </si>
  <si>
    <t>LCNodeID_1002_04</t>
  </si>
  <si>
    <t>턴 종료 유광 감소</t>
  </si>
  <si>
    <t>장착 캐릭터 턴 종료 시 유광을 1스택 해제한다.</t>
  </si>
  <si>
    <t>LCNodeID_1003_01</t>
  </si>
  <si>
    <t>가하는 피해 방어 무시</t>
  </si>
  <si>
    <t>장착 캐릭터가 가하는 피해 계산 시 목표 방어 무시를 적용한다.</t>
  </si>
  <si>
    <t>공격 목표·최종 피해</t>
  </si>
  <si>
    <t>LCNodeID_1003_02</t>
  </si>
  <si>
    <t>전투 지원 스킬 발동</t>
  </si>
  <si>
    <t>LCEffectID_1003_02, LCEffectID_1003_03</t>
  </si>
  <si>
    <t>LCSkillID_1003_Param02, LCSkillID_1003_Param03</t>
  </si>
  <si>
    <t>전투 지원 스킬 발동 시 에너지를 회복하고 출항을 1스택 부여한다.</t>
  </si>
  <si>
    <t>현재 에너지·출항 스택·잔여 턴</t>
  </si>
  <si>
    <t>LCNodeID_1003_03</t>
  </si>
  <si>
    <t>출항 보유 중 지원 피해</t>
  </si>
  <si>
    <t>지원 스킬 피해 계산 시 현재 출항 스택만큼 피해 증가를 적용한다.</t>
  </si>
  <si>
    <t>현재 출항 스택·최종 피해</t>
  </si>
  <si>
    <t>LCNodeID_1003_04</t>
  </si>
  <si>
    <t>출항 3스택 필살기</t>
  </si>
  <si>
    <t>LCSkillID_1003_Param05, LCSkillID_1003_Param06</t>
  </si>
  <si>
    <t>출항이 임계 스택 이상이면 필살기 피해 증가를 스택 수만큼 적용한다.</t>
  </si>
  <si>
    <t>LCNodeID_1004_01</t>
  </si>
  <si>
    <t>단일 아군 대상 스킬</t>
  </si>
  <si>
    <t>LCEffectID_1004_01, LCEffectID_1004_02</t>
  </si>
  <si>
    <t>LCSkillID_1004_Param01, LCSkillID_1004_Param03, LCSkillID_1004_Param04</t>
  </si>
  <si>
    <t>단일 아군 대상 전투 스킬·필살기 발동 시 에너지를 회복하고 대상에게 신성한 영창을 부여한다.</t>
  </si>
  <si>
    <t>대상 판정·현재 에너지·상태 스택·잔여 턴</t>
  </si>
  <si>
    <t>LCNodeID_1004_02</t>
  </si>
  <si>
    <t>신성한 영창 피해 증가</t>
  </si>
  <si>
    <t>상태 보유자의 피해 계산 시 현재 신성한 영창 스택만큼 피해 증가를 적용한다.</t>
  </si>
  <si>
    <t>현재 상태 스택·최종 피해</t>
  </si>
  <si>
    <t>LCNodeID_1004_03</t>
  </si>
  <si>
    <t>적격 행동 횟수 보상</t>
  </si>
  <si>
    <t>적격 행동 횟수가 임계값에 도달하면 전투 스킬 포인트를 회복하고 카운터를 초기화한다.</t>
  </si>
  <si>
    <t>적격 행동 누적 횟수·현재 SP</t>
  </si>
  <si>
    <t>LCNodeID_1005_01</t>
  </si>
  <si>
    <t>장착 시 격파 특수효과 보정치를 등록한다.</t>
  </si>
  <si>
    <t>LCNodeID_1005_02</t>
  </si>
  <si>
    <t>전투 진입 대상 선정</t>
  </si>
  <si>
    <t>전투 진입 시 규칙에 따라 두 명을 선정하고 격파 피해 증가를 적용한다.</t>
  </si>
  <si>
    <t>전투 시작 동료·격파 특수효과 비교·대상 선정</t>
  </si>
  <si>
    <t>LCNodeID_1005_03</t>
  </si>
  <si>
    <t>약점 부여 보상</t>
  </si>
  <si>
    <t>적에게 약점 부여 성공 시 남은 충전을 확인해 전투 스킬 포인트를 회복한다.</t>
  </si>
  <si>
    <t>남은 발동 횟수·현재 SP</t>
  </si>
  <si>
    <t>LCNodeID_1005_04</t>
  </si>
  <si>
    <t>필살기 충전 초기화</t>
  </si>
  <si>
    <t>필살기 발동 시 약점 부여 보상의 남은 발동 횟수를 1회로 초기화한다.</t>
  </si>
  <si>
    <t>남은 발동 횟수</t>
  </si>
  <si>
    <t>LCNodeID_1006_01</t>
  </si>
  <si>
    <t>장착 시 공격력 보정치를 등록한다.</t>
  </si>
  <si>
    <t>LCNodeID_1006_02</t>
  </si>
  <si>
    <t>필살기 치유·방위 부여</t>
  </si>
  <si>
    <t>LCEffectID_1006_02, LCEffectID_1006_03, LCEffectID_1006_04</t>
  </si>
  <si>
    <t>LCSkillID_1006_Param04, LCSkillID_1006_Param05, LCSkillID_1006_Param06</t>
  </si>
  <si>
    <t>필살기 발동 시 전원 치유, 최저 HP 아군 추가 치유, 방위 부여를 순서대로 실행한다.</t>
  </si>
  <si>
    <t>현재 HP 최저 대상·최종 치유량·잔여 턴</t>
  </si>
  <si>
    <t>LCNodeID_1006_03</t>
  </si>
  <si>
    <t>방위 보유 중 피해</t>
  </si>
  <si>
    <t>LCSkillID_1006_Param02, LCSkillID_1006_Param03</t>
  </si>
  <si>
    <t>방위 보유자의 피해 계산 시 기본 증가량과 소환물 보유 추가 증가량을 적용한다.</t>
  </si>
  <si>
    <t>소환물 보유 여부·최종 피해</t>
  </si>
  <si>
    <t>LCNodeID_1007_01</t>
  </si>
  <si>
    <t>LCNodeID_1007_02</t>
  </si>
  <si>
    <t>필살기 적중 망우 부여</t>
  </si>
  <si>
    <t>필살기로 적을 공격한 뒤 해당 적에게 망우를 부여한다.</t>
  </si>
  <si>
    <t>적중 대상·잔여 턴</t>
  </si>
  <si>
    <t>LCNodeID_1007_03</t>
  </si>
  <si>
    <t>망우 보유 적 피해 취약</t>
  </si>
  <si>
    <t>LCSkillID_1007_Param02, LCSkillID_1007_Param03, LCSkillID_1007_Param04</t>
  </si>
  <si>
    <t>망우 보유 적이 받는 피해를 계산하고 장착자의 격파 특수효과 조건 충족 시 추가 증가를 합산한다.</t>
  </si>
  <si>
    <t>장착자 현재 격파 특수효과·최종 피해</t>
  </si>
  <si>
    <t>LCNodeID_1008_01</t>
  </si>
  <si>
    <t>장착 시 속도 보정치를 등록한다.</t>
  </si>
  <si>
    <t>LCNodeID_1008_02</t>
  </si>
  <si>
    <t>기억 정령 단일 아군 스킬</t>
  </si>
  <si>
    <t>상태 획득</t>
  </si>
  <si>
    <t>기억 정령이 단일 아군에게 스킬을 사용하면 공백을 획득한다.</t>
  </si>
  <si>
    <t>행동 주체·대상 유형·상태 보유 여부</t>
  </si>
  <si>
    <t>LCNodeID_1008_03</t>
  </si>
  <si>
    <t>기억 정령 적 대상 스킬</t>
  </si>
  <si>
    <t>기억 정령이 적에게 스킬을 사용하면 시구를 획득한다.</t>
  </si>
  <si>
    <t>LCNodeID_1008_04</t>
  </si>
  <si>
    <t>공백 효과</t>
  </si>
  <si>
    <t>LCStateID_1008_01, LCStateID_1008_02</t>
  </si>
  <si>
    <t>LCSkillID_1008_Param03, LCSkillID_1008_Param04</t>
  </si>
  <si>
    <t>공백 보유 중 모든 적의 받는 피해를 증가시키고 공백·시구 동시 보유 시 증폭한다.</t>
  </si>
  <si>
    <t>공백·시구 동시 보유 여부·최종 피해</t>
  </si>
  <si>
    <t>LCNodeID_1008_05</t>
  </si>
  <si>
    <t>시구 효과</t>
  </si>
  <si>
    <t>LCSkillID_1008_Param02, LCSkillID_1008_Param04</t>
  </si>
  <si>
    <t>시구 보유 중 모든 아군의 치명타 피해를 증가시키고 공백·시구 동시 보유 시 증폭한다.</t>
  </si>
  <si>
    <t>공백·시구 동시 보유 여부·최종 능력치</t>
  </si>
  <si>
    <t>LCNodeID_1009_01</t>
  </si>
  <si>
    <t>LCEffectID_1009_01, LCEffectID_1009_02</t>
  </si>
  <si>
    <t>LCSkillID_1009_Param01, LCSkillID_1009_Param04</t>
  </si>
  <si>
    <t>장착 시 치명타 피해와 에너지 회복효율 보정치를 등록한다.</t>
  </si>
  <si>
    <t>LCNodeID_1009_02</t>
  </si>
  <si>
    <t>에너지 최대치 재계산</t>
  </si>
  <si>
    <t>LCSkillID_1009_Param05, LCSkillID_1009_Param06, LCSkillID_1009_Param07</t>
  </si>
  <si>
    <t>에너지 최대치가 변할 때 기준 초과분을 10pt 단위로 환산해 추가 회복효율을 계산한다.</t>
  </si>
  <si>
    <t>현재 에너지 최대치·상한·버림 계산</t>
  </si>
  <si>
    <t>LCNodeID_1009_03</t>
  </si>
  <si>
    <t>환락 스킬 피해 취약</t>
  </si>
  <si>
    <t>LCSkillID_1009_Param02, LCSkillID_1009_Param03</t>
  </si>
  <si>
    <t>환락 스킬 발동 시 적에게 받는 피해 증가 상태를 부여한다.</t>
  </si>
  <si>
    <t>적 대상·잔여 턴</t>
  </si>
  <si>
    <t>LCNodeID_1010_01</t>
  </si>
  <si>
    <t>LCNodeID_1010_02</t>
  </si>
  <si>
    <t>행동 시 아군 HP 소모</t>
  </si>
  <si>
    <t>일반 공격·전투 스킬·필살기 발동 시 모든 아군의 현재 HP를 비율만큼 소모하고 실제 소모량을 누적한다.</t>
  </si>
  <si>
    <t>아군별 현재 HP·실제 소모량 누적</t>
  </si>
  <si>
    <t>LCNodeID_1010_03</t>
  </si>
  <si>
    <t>기억 정령 다음 공격 추가 피해</t>
  </si>
  <si>
    <t>기억 정령의 다음 공격 후 누적 HP 소모량 비례 추가 피해를 1회 가하고 누적값을 초기화한다.</t>
  </si>
  <si>
    <t>누적 HP 소모량·공격 목표·최종 추가 피해</t>
  </si>
  <si>
    <t>LCNodeID_1010_04</t>
  </si>
  <si>
    <t>기억 정령 스킬 피해 취약</t>
  </si>
  <si>
    <t>LCSkillID_1010_Param04, LCSkillID_1010_Param05</t>
  </si>
  <si>
    <t>기억 정령 스킬 발동 시 모든 적에게 받는 피해 증가 상태를 부여한다.</t>
  </si>
  <si>
    <t>모든 적 대상·잔여 턴</t>
  </si>
  <si>
    <t>스타레일 원본 직접속성 감사</t>
  </si>
  <si>
    <t>EquipmentSkillConfig.AbilityProperty의 원본 대조 시트입니다. 실행 데이터가 아니며 대응 효과와 중첩수치로 통합했습니다.</t>
  </si>
  <si>
    <t>이 시트는 어느 스킬·노드에서도 참조하지 않습니다. 원본 값 보존과 효과 데이터 검수에만 사용합니다.</t>
  </si>
  <si>
    <t>이전설계ID</t>
  </si>
  <si>
    <t>대응효과ID</t>
  </si>
  <si>
    <t>속성명</t>
  </si>
  <si>
    <t>사용정책</t>
  </si>
  <si>
    <t>LCSkillID_1001_Property01</t>
  </si>
  <si>
    <t>HP 최대치 증가율</t>
  </si>
  <si>
    <t>원본 대조 전용: 실행은 대응 효과와 노드의 Param 참조를 사용</t>
  </si>
  <si>
    <t>LCSkillID_1001_Property02</t>
  </si>
  <si>
    <t>받는 치유량 증가율</t>
  </si>
  <si>
    <t>LCSkillID_1002_Property01</t>
  </si>
  <si>
    <t>LCSkillID_1005_Property01</t>
  </si>
  <si>
    <t>LCSkillID_1006_Property01</t>
  </si>
  <si>
    <t>공격력 증가율</t>
  </si>
  <si>
    <t>LCSkillID_1007_Property01</t>
  </si>
  <si>
    <t>LCSkillID_1008_Property01</t>
  </si>
  <si>
    <t>속도 증가율</t>
  </si>
  <si>
    <t>LCSkillID_1009_Property01</t>
  </si>
  <si>
    <t>LCSkillID_1010_Property01</t>
  </si>
  <si>
    <t>광추 스킬 ID·참조 규칙</t>
  </si>
  <si>
    <t>최종 구조는 광추 → 스킬 → 노드 → 효과입니다. 노드는 발동·조건·상태·수치를 함께 참조합니다.</t>
  </si>
  <si>
    <t>Ability와 직접속성은 실행 관계에 참여하지 않습니다. 직접속성은 스타레일 원본 감사용으로만 보존합니다.</t>
  </si>
  <si>
    <t>규칙ID</t>
  </si>
  <si>
    <t>대상</t>
  </si>
  <si>
    <t>형식·규칙</t>
  </si>
  <si>
    <t>예시</t>
  </si>
  <si>
    <t>소유·작동 방식</t>
  </si>
  <si>
    <t>검증·실패 처리</t>
  </si>
  <si>
    <t>IDR-01</t>
  </si>
  <si>
    <t>LCSkillID_####</t>
  </si>
  <si>
    <t>광추 정의가 단일 스킬 ID로 소유</t>
  </si>
  <si>
    <t>중복·형식 오류 시 빌드 실패</t>
  </si>
  <si>
    <t>IDR-02</t>
  </si>
  <si>
    <t>실행 노드 ID</t>
  </si>
  <si>
    <t>LCNodeID_####_##</t>
  </si>
  <si>
    <t>스킬 정의의 실행 노드 ID 리스트가 소유</t>
  </si>
  <si>
    <t>중복·누락 참조 시 빌드 실패</t>
  </si>
  <si>
    <t>IDR-03</t>
  </si>
  <si>
    <t>스킬 수치 ID</t>
  </si>
  <si>
    <t>LCSkillID_####_Param##</t>
  </si>
  <si>
    <t>실행 노드의 스킬 수치 ID 리스트가 소유</t>
  </si>
  <si>
    <t>IDR-04</t>
  </si>
  <si>
    <t>발동·조건·효과·상태 ID</t>
  </si>
  <si>
    <t>LCTrigger/Condition/Effect/StateID_####_##</t>
  </si>
  <si>
    <t>실행 노드의 단일 ID 또는 ID 리스트가 소유</t>
  </si>
  <si>
    <t>REF-01</t>
  </si>
  <si>
    <t>실행 관계</t>
  </si>
  <si>
    <t>광추 → 스킬 → 노드 → 효과</t>
  </si>
  <si>
    <t>LC_1001 → LCSkillID_1001 → LCNodeID_1001_02</t>
  </si>
  <si>
    <t>Ability 계층 없음</t>
  </si>
  <si>
    <t>LCAbilityID 참조가 있으면 빌드 실패</t>
  </si>
  <si>
    <t>REF-02</t>
  </si>
  <si>
    <t>관계 원본</t>
  </si>
  <si>
    <t>부모 행의 ID 또는 ID 리스트</t>
  </si>
  <si>
    <t>스킬 → 실행 노드 목록</t>
  </si>
  <si>
    <t>자식 정의 행의 소유 FK 없음</t>
  </si>
  <si>
    <t>부모 목록과 정의 레지스트리 대조</t>
  </si>
  <si>
    <t>REF-03</t>
  </si>
  <si>
    <t>목록 직렬화</t>
  </si>
  <si>
    <t>텍스트, 구분자 '|'</t>
  </si>
  <si>
    <t>ID_01 | ID_02</t>
  </si>
  <si>
    <t>중복 금지·순서 보존·빈 목록은 '없음'</t>
  </si>
  <si>
    <t>내보내기 시 배열로 파싱</t>
  </si>
  <si>
    <t>REF-04</t>
  </si>
  <si>
    <t>ID 의미</t>
  </si>
  <si>
    <t>불투명 식별자</t>
  </si>
  <si>
    <t>1001은 가독성 힌트</t>
  </si>
  <si>
    <t>ID 문자열 파싱으로 관계·동작을 결정하지 않음</t>
  </si>
  <si>
    <t>오직 부모 참조 필드로 연결</t>
  </si>
  <si>
    <t>REF-05</t>
  </si>
  <si>
    <t>직접속성 원본</t>
  </si>
  <si>
    <t>감사 데이터</t>
  </si>
  <si>
    <t>22_원본 직접속성 감사</t>
  </si>
  <si>
    <t>실행은 효과·Param으로 통합</t>
  </si>
  <si>
    <t>실행 참조가 있으면 빌드 실패</t>
  </si>
  <si>
    <t>REF-06</t>
  </si>
  <si>
    <t>DB·런타임 변환</t>
  </si>
  <si>
    <t>엑셀 목록 → 배열 또는 링크 레코드</t>
  </si>
  <si>
    <t>Skill.NodeIds[]</t>
  </si>
  <si>
    <t>엑셀은 저작 원본, 런타임은 컴파일 결과 사용</t>
  </si>
  <si>
    <t>배포 전 참조 무결성 검사</t>
  </si>
  <si>
    <t>피의 불꽃이여, 앞길을 태워라</t>
    <phoneticPr fontId="6" type="noConversion"/>
  </si>
  <si>
    <t>LC_1011</t>
    <phoneticPr fontId="6"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</si>
</sst>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
    <numFmt numFmtId="177" formatCode="0.########"/>
  </numFmts>
  <fonts count="8">
    <font>
      <sz val="11"/>
      <name val="Carlito"/>
    </font>
    <font>
      <b/>
      <sz val="15"/>
      <color rgb="FFFFFFFF"/>
      <name val="맑은 고딕"/>
      <family val="3"/>
      <charset val="129"/>
    </font>
    <font>
      <sz val="9"/>
      <color rgb="FF202020"/>
      <name val="맑은 고딕"/>
      <family val="3"/>
      <charset val="129"/>
    </font>
    <font>
      <i/>
      <sz val="8"/>
      <color rgb="FF202020"/>
      <name val="맑은 고딕"/>
      <family val="3"/>
      <charset val="129"/>
    </font>
    <font>
      <b/>
      <sz val="9"/>
      <color rgb="FFFFFFFF"/>
      <name val="맑은 고딕"/>
      <family val="3"/>
      <charset val="129"/>
    </font>
    <font>
      <sz val="11"/>
      <name val="Carlito"/>
    </font>
    <font>
      <sz val="8"/>
      <name val="돋움"/>
      <family val="3"/>
      <charset val="129"/>
    </font>
    <font>
      <sz val="9"/>
      <name val="맑은 고딕"/>
      <family val="3"/>
      <charset val="129"/>
    </font>
  </fonts>
  <fills count="14">
    <fill>
      <patternFill patternType="none"/>
    </fill>
    <fill>
      <patternFill patternType="gray125"/>
    </fill>
    <fill>
      <patternFill patternType="solid">
        <fgColor rgb="FF3B3B3B"/>
      </patternFill>
    </fill>
    <fill>
      <patternFill patternType="solid">
        <fgColor rgb="FFF2F2F2"/>
      </patternFill>
    </fill>
    <fill>
      <patternFill patternType="solid">
        <fgColor rgb="FFD9D9D9"/>
      </patternFill>
    </fill>
    <fill>
      <patternFill patternType="solid">
        <fgColor rgb="FF777777"/>
      </patternFill>
    </fill>
    <fill>
      <patternFill patternType="solid">
        <fgColor rgb="FF3B3B3B"/>
      </patternFill>
    </fill>
    <fill>
      <patternFill patternType="solid">
        <fgColor rgb="FFF2F2F2"/>
      </patternFill>
    </fill>
    <fill>
      <patternFill patternType="solid">
        <fgColor rgb="FFD9D9D9"/>
      </patternFill>
    </fill>
    <fill>
      <patternFill patternType="solid">
        <fgColor rgb="FF6F6F6F"/>
      </patternFill>
    </fill>
    <fill>
      <patternFill patternType="solid">
        <fgColor rgb="FF3B3B3B"/>
      </patternFill>
    </fill>
    <fill>
      <patternFill patternType="solid">
        <fgColor rgb="FFF2F2F2"/>
      </patternFill>
    </fill>
    <fill>
      <patternFill patternType="solid">
        <fgColor rgb="FFD9D9D9"/>
      </patternFill>
    </fill>
    <fill>
      <patternFill patternType="solid">
        <fgColor rgb="FF6F6F6F"/>
      </patternFill>
    </fill>
  </fills>
  <borders count="3">
    <border>
      <left/>
      <right/>
      <top/>
      <bottom/>
      <diagonal/>
    </border>
    <border>
      <left style="thin">
        <color rgb="FFA6A6A6"/>
      </left>
      <right style="thin">
        <color rgb="FFA6A6A6"/>
      </right>
      <top style="thin">
        <color rgb="FFA6A6A6"/>
      </top>
      <bottom style="thin">
        <color rgb="FFA6A6A6"/>
      </bottom>
      <diagonal/>
    </border>
    <border>
      <left style="thin">
        <color rgb="FFD9D9D9"/>
      </left>
      <right style="thin">
        <color rgb="FFD9D9D9"/>
      </right>
      <top style="thin">
        <color rgb="FFD9D9D9"/>
      </top>
      <bottom style="thin">
        <color rgb="FFD9D9D9"/>
      </bottom>
      <diagonal/>
    </border>
  </borders>
  <cellStyleXfs count="2">
    <xf numFmtId="0" fontId="0" fillId="0" borderId="0"/>
    <xf numFmtId="0" fontId="5" fillId="0" borderId="0"/>
  </cellStyleXfs>
  <cellXfs count="25">
    <xf numFmtId="0" fontId="0" fillId="0" borderId="0" xfId="0"/>
    <xf numFmtId="0" fontId="4" fillId="5" borderId="1" xfId="1" applyFont="1" applyFill="1" applyBorder="1" applyAlignment="1">
      <alignment horizontal="center" vertical="center" wrapText="1"/>
    </xf>
    <xf numFmtId="0" fontId="2" fillId="0" borderId="2" xfId="1" applyFont="1" applyBorder="1" applyAlignment="1">
      <alignment vertical="center" wrapText="1"/>
    </xf>
    <xf numFmtId="3" fontId="2" fillId="0" borderId="2" xfId="1" applyNumberFormat="1" applyFont="1" applyBorder="1" applyAlignment="1">
      <alignment vertical="center" wrapText="1"/>
    </xf>
    <xf numFmtId="0" fontId="2" fillId="0" borderId="2" xfId="1" applyFont="1" applyBorder="1" applyAlignment="1">
      <alignment vertical="center"/>
    </xf>
    <xf numFmtId="0" fontId="2" fillId="0" borderId="2" xfId="1" applyFont="1" applyBorder="1" applyAlignment="1">
      <alignment horizontal="right" vertical="center" wrapText="1"/>
    </xf>
    <xf numFmtId="0" fontId="2" fillId="0" borderId="2" xfId="1" applyFont="1" applyBorder="1" applyAlignment="1">
      <alignment horizontal="left" vertical="center" wrapText="1"/>
    </xf>
    <xf numFmtId="177" fontId="2" fillId="0" borderId="2" xfId="1" applyNumberFormat="1" applyFont="1" applyBorder="1" applyAlignment="1">
      <alignment vertical="center" wrapText="1"/>
    </xf>
    <xf numFmtId="0" fontId="7" fillId="0" borderId="0" xfId="0" applyFont="1"/>
    <xf numFmtId="0" fontId="2" fillId="0" borderId="2" xfId="0" applyFont="1" applyBorder="1" applyAlignment="1">
      <alignment vertical="center" wrapText="1"/>
    </xf>
    <xf numFmtId="176" fontId="2" fillId="0" borderId="2" xfId="0" applyNumberFormat="1" applyFont="1" applyBorder="1" applyAlignment="1">
      <alignment vertical="center" wrapText="1"/>
    </xf>
    <xf numFmtId="0" fontId="4" fillId="9" borderId="1" xfId="0" applyFont="1" applyFill="1" applyBorder="1" applyAlignment="1">
      <alignment horizontal="center" vertical="center" wrapText="1"/>
    </xf>
    <xf numFmtId="0" fontId="2" fillId="0" borderId="2" xfId="0" applyFont="1" applyBorder="1" applyAlignment="1">
      <alignment horizontal="left" vertical="center" wrapText="1"/>
    </xf>
    <xf numFmtId="0" fontId="4" fillId="13" borderId="1" xfId="0" applyFont="1" applyFill="1" applyBorder="1" applyAlignment="1">
      <alignment horizontal="center" vertical="center" wrapText="1"/>
    </xf>
    <xf numFmtId="0" fontId="2" fillId="11" borderId="2" xfId="0" applyFont="1" applyFill="1" applyBorder="1" applyAlignment="1">
      <alignment vertical="center" wrapText="1"/>
    </xf>
    <xf numFmtId="0" fontId="1" fillId="10" borderId="0" xfId="0" applyFont="1" applyFill="1" applyAlignment="1">
      <alignment vertical="center"/>
    </xf>
    <xf numFmtId="0" fontId="2" fillId="11" borderId="0" xfId="0" applyFont="1" applyFill="1" applyAlignment="1">
      <alignment vertical="center" wrapText="1"/>
    </xf>
    <xf numFmtId="0" fontId="3" fillId="12" borderId="0" xfId="0" applyFont="1" applyFill="1" applyAlignment="1">
      <alignment vertical="center" wrapText="1"/>
    </xf>
    <xf numFmtId="0" fontId="1" fillId="2" borderId="0" xfId="1" applyFont="1" applyFill="1" applyAlignment="1">
      <alignment vertical="center"/>
    </xf>
    <xf numFmtId="0" fontId="2" fillId="3" borderId="0" xfId="1" applyFont="1" applyFill="1" applyAlignment="1">
      <alignment vertical="center" wrapText="1"/>
    </xf>
    <xf numFmtId="0" fontId="3" fillId="4" borderId="0" xfId="1" applyFont="1" applyFill="1" applyAlignment="1">
      <alignment vertical="center"/>
    </xf>
    <xf numFmtId="0" fontId="3" fillId="12" borderId="0" xfId="0" applyFont="1" applyFill="1" applyAlignment="1">
      <alignment vertical="center"/>
    </xf>
    <xf numFmtId="0" fontId="1" fillId="6" borderId="0" xfId="0" applyFont="1" applyFill="1" applyAlignment="1">
      <alignment vertical="center"/>
    </xf>
    <xf numFmtId="0" fontId="2" fillId="7" borderId="0" xfId="0" applyFont="1" applyFill="1" applyAlignment="1">
      <alignment vertical="center" wrapText="1"/>
    </xf>
    <xf numFmtId="0" fontId="3" fillId="8" borderId="0" xfId="0" applyFont="1" applyFill="1" applyAlignment="1">
      <alignment vertical="center" wrapText="1"/>
    </xf>
  </cellXfs>
  <cellStyles count="2">
    <cellStyle name="Normal" xfId="1" xr:uid="{00000000-0005-0000-0000-000000000000}"/>
    <cellStyle name="표준" xfId="0" builtinId="0"/>
  </cellStyles>
  <dxfs count="16">
    <dxf>
      <border>
        <left style="thin">
          <color rgb="FFD9D9D9"/>
        </left>
      </border>
    </dxf>
    <dxf>
      <border>
        <right style="thin">
          <color rgb="FFD9D9D9"/>
        </right>
      </border>
    </dxf>
    <dxf>
      <font>
        <sz val="9"/>
        <color rgb="FF202020"/>
        <name val="맑은 고딕"/>
        <family val="3"/>
      </font>
      <numFmt numFmtId="0" formatCode="General"/>
      <border>
        <left style="thin">
          <color rgb="FFD9D9D9"/>
        </left>
        <right style="thin">
          <color rgb="FFD9D9D9"/>
        </right>
        <top style="thin">
          <color rgb="FFD9D9D9"/>
        </top>
        <bottom style="thin">
          <color rgb="FFD9D9D9"/>
        </bottom>
      </border>
    </dxf>
    <dxf>
      <numFmt numFmtId="177" formatCode="0.########"/>
      <border>
        <left style="thin">
          <color rgb="FFD9D9D9"/>
        </left>
      </border>
    </dxf>
    <dxf>
      <numFmt numFmtId="177" formatCode="0.########"/>
      <border>
        <left style="thin">
          <color rgb="FFD9D9D9"/>
        </left>
        <right style="thin">
          <color rgb="FFD9D9D9"/>
        </right>
      </border>
    </dxf>
    <dxf>
      <numFmt numFmtId="177" formatCode="0.########"/>
      <border>
        <right style="thin">
          <color rgb="FFD9D9D9"/>
        </right>
      </border>
    </dxf>
    <dxf>
      <font>
        <u val="none"/>
        <sz val="9"/>
        <color rgb="FF202020"/>
        <name val="맑은 고딕"/>
        <family val="3"/>
        <scheme val="none"/>
      </font>
      <border>
        <left style="thin">
          <color rgb="FFD9D9D9"/>
        </left>
        <right style="thin">
          <color rgb="FFD9D9D9"/>
        </right>
        <top style="thin">
          <color rgb="FFD9D9D9"/>
        </top>
        <bottom style="thin">
          <color rgb="FFD9D9D9"/>
        </bottom>
      </border>
    </dxf>
    <dxf>
      <font>
        <u val="none"/>
        <sz val="9"/>
        <color rgb="FF202020"/>
        <name val="맑은 고딕"/>
        <family val="3"/>
        <scheme val="none"/>
      </font>
      <border>
        <left style="thin">
          <color rgb="FFD9D9D9"/>
        </left>
        <right style="thin">
          <color rgb="FFD9D9D9"/>
        </right>
        <top style="thin">
          <color rgb="FFD9D9D9"/>
        </top>
        <bottom style="thin">
          <color rgb="FFD9D9D9"/>
        </bottom>
      </border>
    </dxf>
    <dxf>
      <font>
        <u val="none"/>
        <sz val="9"/>
        <color rgb="FF202020"/>
        <name val="맑은 고딕"/>
        <family val="3"/>
        <scheme val="none"/>
      </font>
      <border>
        <left style="thin">
          <color rgb="FFD9D9D9"/>
        </left>
        <right style="thin">
          <color rgb="FFD9D9D9"/>
        </right>
        <top style="thin">
          <color rgb="FFD9D9D9"/>
        </top>
        <bottom style="thin">
          <color rgb="FFD9D9D9"/>
        </bottom>
      </border>
    </dxf>
    <dxf>
      <font>
        <u val="none"/>
        <sz val="9"/>
        <color rgb="FF202020"/>
        <name val="맑은 고딕"/>
        <family val="3"/>
        <scheme val="none"/>
      </font>
      <border>
        <left style="thin">
          <color rgb="FFD9D9D9"/>
        </left>
        <right style="thin">
          <color rgb="FFD9D9D9"/>
        </right>
        <top style="thin">
          <color rgb="FFD9D9D9"/>
        </top>
        <bottom style="thin">
          <color rgb="FFD9D9D9"/>
        </bottom>
      </border>
    </dxf>
    <dxf>
      <font>
        <u val="none"/>
        <sz val="9"/>
        <color rgb="FF202020"/>
        <name val="맑은 고딕"/>
        <family val="3"/>
        <scheme val="none"/>
      </font>
      <border>
        <left style="thin">
          <color rgb="FFD9D9D9"/>
        </left>
        <right style="thin">
          <color rgb="FFD9D9D9"/>
        </right>
        <top style="thin">
          <color rgb="FFD9D9D9"/>
        </top>
        <bottom style="thin">
          <color rgb="FFD9D9D9"/>
        </bottom>
      </border>
    </dxf>
    <dxf>
      <font>
        <u val="none"/>
        <sz val="9"/>
        <name val="맑은 고딕"/>
        <family val="3"/>
        <scheme val="none"/>
      </font>
    </dxf>
    <dxf>
      <font>
        <u val="none"/>
        <sz val="9"/>
        <name val="맑은 고딕"/>
        <family val="3"/>
        <scheme val="none"/>
      </font>
    </dxf>
    <dxf>
      <font>
        <u val="none"/>
        <sz val="9"/>
        <name val="맑은 고딕"/>
        <family val="3"/>
        <scheme val="none"/>
      </font>
    </dxf>
    <dxf>
      <font>
        <u val="none"/>
        <sz val="9"/>
        <name val="맑은 고딕"/>
        <family val="3"/>
        <scheme val="none"/>
      </font>
    </dxf>
    <dxf>
      <font>
        <u val="none"/>
        <sz val="9"/>
        <name val="맑은 고딕"/>
        <family val="3"/>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00000000}" name="광추정의표" displayName="광추정의표" ref="A4:R14" totalsRowShown="0">
  <autoFilter ref="A4:R14" xr:uid="{00000000-0009-0000-0100-000024000000}"/>
  <tableColumns count="18">
    <tableColumn id="1" xr3:uid="{00000000-0010-0000-0000-000001000000}" name="광추ID"/>
    <tableColumn id="2" xr3:uid="{00000000-0010-0000-0000-000002000000}" name="광추명"/>
    <tableColumn id="3" xr3:uid="{00000000-0010-0000-0000-000003000000}" name="운명의 길"/>
    <tableColumn id="4" xr3:uid="{00000000-0010-0000-0000-000004000000}" name="희귀도"/>
    <tableColumn id="5" xr3:uid="{00000000-0010-0000-0000-000005000000}" name="최대 승급 단계"/>
    <tableColumn id="6" xr3:uid="{00000000-0010-0000-0000-000006000000}" name="최대 중첩 단계"/>
    <tableColumn id="7" xr3:uid="{00000000-0010-0000-0000-000007000000}" name="경험치 유형"/>
    <tableColumn id="8" xr3:uid="{00000000-0010-0000-0000-000008000000}" name="스킬 ID"/>
    <tableColumn id="9" xr3:uid="{00000000-0010-0000-0000-000009000000}" name="원본 스킬 ID"/>
    <tableColumn id="10" xr3:uid="{00000000-0010-0000-0000-00000A000000}" name="스탯 ID"/>
    <tableColumn id="11" xr3:uid="{00000000-0010-0000-0000-00000B000000}" name="아이템 Desc"/>
    <tableColumn id="12" xr3:uid="{00000000-0010-0000-0000-00000C000000}" name="광추 설정 Desc"/>
    <tableColumn id="13" xr3:uid="{00000000-0010-0000-0000-00000D000000}" name="아이템 유형"/>
    <tableColumn id="14" xr3:uid="{00000000-0010-0000-0000-00000E000000}" name="최대보유수"/>
    <tableColumn id="15" xr3:uid="{00000000-0010-0000-0000-00000F000000}" name="승급 시 필요 아이템"/>
    <tableColumn id="16" xr3:uid="{00000000-0010-0000-0000-000010000000}" name="중첩 시 필요 아이템"/>
    <tableColumn id="17" xr3:uid="{00000000-0010-0000-0000-000011000000}" name="일러스트경로"/>
    <tableColumn id="18" xr3:uid="{00000000-0010-0000-0000-000012000000}" name="아이템아이콘경로"/>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1000000}" name="광추레벨업경험치표" displayName="광추레벨업경험치표" ref="A2:D242" totalsRowShown="0" dataDxfId="15">
  <autoFilter ref="A2:D242" xr:uid="{00000000-0009-0000-0100-000004000000}"/>
  <tableColumns count="4">
    <tableColumn id="1" xr3:uid="{00000000-0010-0000-0100-000001000000}" name="경험치유형" dataDxfId="14"/>
    <tableColumn id="2" xr3:uid="{00000000-0010-0000-0100-000002000000}" name="현재레벨" dataDxfId="13"/>
    <tableColumn id="3" xr3:uid="{00000000-0010-0000-0100-000003000000}" name="다음레벨필요경험치" dataDxfId="12"/>
    <tableColumn id="4" xr3:uid="{00000000-0010-0000-0100-000004000000}" name="# 참고용 현재레벨도달누적경험치" dataDxfId="11"/>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2000000}" name="광추강화재료표" displayName="광추강화재료표" ref="A2:F5" totalsRowShown="0">
  <autoFilter ref="A2:F5" xr:uid="{00000000-0009-0000-0100-000005000000}"/>
  <tableColumns count="6">
    <tableColumn id="1" xr3:uid="{00000000-0010-0000-0200-000001000000}" name="아이템 ID"/>
    <tableColumn id="2" xr3:uid="{00000000-0010-0000-0200-000002000000}" name="아이템명"/>
    <tableColumn id="3" xr3:uid="{00000000-0010-0000-0200-000003000000}" name="아이템 설명"/>
    <tableColumn id="4" xr3:uid="{00000000-0010-0000-0200-000004000000}" name="제공 경험치"/>
    <tableColumn id="5" xr3:uid="{00000000-0010-0000-0200-000005000000}" name="개당 소모 신용 포인트"/>
    <tableColumn id="6" xr3:uid="{00000000-0010-0000-0200-000006000000}" name="아이콘 경로"/>
  </tableColumns>
  <tableStyleInfo name="TableStyleLight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3000000}" name="광추정의표2" displayName="광추정의표2" ref="A2:C12" totalsRowShown="0">
  <autoFilter ref="A2:C12" xr:uid="{00000000-0009-0000-0100-000001000000}"/>
  <tableColumns count="3">
    <tableColumn id="1" xr3:uid="{00000000-0010-0000-0300-000001000000}" name="광추 스탯 ID"/>
    <tableColumn id="5" xr3:uid="{00000000-0010-0000-0300-000005000000}" name="광추 레벨업 스탯 ID" dataDxfId="10"/>
    <tableColumn id="4" xr3:uid="{00000000-0010-0000-0300-000004000000}" name="광추 승급 스탯 ID []" dataDxfId="9"/>
  </tableColumns>
  <tableStyleInfo name="TableStyleLight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4000000}" name="광추레벨별스탯표" displayName="광추레벨별스탯표" ref="A2:G12" totalsRowShown="0">
  <autoFilter ref="A2:G12" xr:uid="{00000000-0009-0000-0100-000003000000}"/>
  <tableColumns count="7">
    <tableColumn id="1" xr3:uid="{00000000-0010-0000-0400-000001000000}" name="레벨별 ID"/>
    <tableColumn id="2" xr3:uid="{00000000-0010-0000-0400-000002000000}" name="기본 체력" dataDxfId="8"/>
    <tableColumn id="3" xr3:uid="{00000000-0010-0000-0400-000003000000}" name="기본 공격력" dataDxfId="7"/>
    <tableColumn id="4" xr3:uid="{00000000-0010-0000-0400-000004000000}" name="기본 방어력" dataDxfId="6"/>
    <tableColumn id="6" xr3:uid="{00000000-0010-0000-0400-000006000000}" name="레벨당 체력 증가량" dataDxfId="5"/>
    <tableColumn id="9" xr3:uid="{00000000-0010-0000-0400-000009000000}" name="레벨당 공격력 증가량" dataDxfId="4"/>
    <tableColumn id="12" xr3:uid="{00000000-0010-0000-0400-00000C000000}" name="레벨당 방어력 증가량" dataDxfId="3"/>
  </tableColumns>
  <tableStyleInfo name="TableStyleLight1"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광추승급스탯표" displayName="광추승급스탯표" ref="A2:I72" totalsRowShown="0">
  <autoFilter ref="A2:I72" xr:uid="{00000000-0009-0000-0100-000006000000}"/>
  <tableColumns count="9">
    <tableColumn id="1" xr3:uid="{00000000-0010-0000-0500-000001000000}" name="승급행ID"/>
    <tableColumn id="2" xr3:uid="{00000000-0010-0000-0500-000002000000}" name="# 참고용 광추ID">
      <calculatedColumnFormula>LEFT(A3, 2) &amp; "_" &amp; _xlfn.TEXTBEFORE(_xlfn.TEXTAFTER(A3, "_"), "_")</calculatedColumnFormula>
    </tableColumn>
    <tableColumn id="3" xr3:uid="{00000000-0010-0000-0500-000003000000}" name="승급단계"/>
    <tableColumn id="4" xr3:uid="{00000000-0010-0000-0500-000004000000}" name="단계별 최대 레벨"/>
    <tableColumn id="5" xr3:uid="{00000000-0010-0000-0500-000005000000}" name="다음 승급 시 필요 계정 레벨"/>
    <tableColumn id="6" xr3:uid="{00000000-0010-0000-0500-000006000000}" name="다음 승급 시 필요 월드 레벨"/>
    <tableColumn id="21" xr3:uid="{00000000-0010-0000-0500-000015000000}" name="승급 시 체력 보너스"/>
    <tableColumn id="24" xr3:uid="{00000000-0010-0000-0500-000018000000}" name="승급 시 공격력 보너스"/>
    <tableColumn id="27" xr3:uid="{00000000-0010-0000-0500-00001B000000}" name="승급시 방어력 보너스"/>
  </tableColumns>
  <tableStyleInfo name="TableStyleLight1"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6000000}" name="광추승급재료표16" displayName="광추승급재료표16" ref="A2:B12" totalsRowShown="0">
  <autoFilter ref="A2:B12" xr:uid="{00000000-0009-0000-0100-00000F000000}"/>
  <tableColumns count="2">
    <tableColumn id="1" xr3:uid="{00000000-0010-0000-0600-000001000000}" name="승급 재료 아이템 리스트 ID"/>
    <tableColumn id="2" xr3:uid="{00000000-0010-0000-0600-000002000000}" name="승급 재료 아이템 리스트 []" dataDxfId="2"/>
  </tableColumns>
  <tableStyleInfo name="TableStyleLight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7000000}" name="광추승급재료표" displayName="광추승급재료표" ref="A4:E174" totalsRowShown="0">
  <autoFilter ref="A4:E174" xr:uid="{00000000-0009-0000-0100-000007000000}"/>
  <tableColumns count="5">
    <tableColumn id="1" xr3:uid="{00000000-0010-0000-0700-000001000000}" name="승급 재료 아이템 ID"/>
    <tableColumn id="2" xr3:uid="{00000000-0010-0000-0700-000002000000}" name="광추ID"/>
    <tableColumn id="8" xr3:uid="{00000000-0010-0000-0700-000008000000}" name="아이템ID"/>
    <tableColumn id="9" xr3:uid="{00000000-0010-0000-0700-000009000000}" name="아이템명"/>
    <tableColumn id="10" xr3:uid="{00000000-0010-0000-0700-00000A000000}" name="필요수량"/>
  </tableColumns>
  <tableStyleInfo name="TableStyleLight1"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08000000}" name="광추스킬정의표" displayName="광추스킬정의표" ref="A4:E14" totalsRowShown="0">
  <autoFilter ref="A4:E14" xr:uid="{00000000-0009-0000-0100-000025000000}"/>
  <tableColumns count="5">
    <tableColumn id="1" xr3:uid="{00000000-0010-0000-0800-000001000000}" name="스킬ID"/>
    <tableColumn id="2" xr3:uid="{00000000-0010-0000-0800-000002000000}" name="스킬명"/>
    <tableColumn id="3" xr3:uid="{00000000-0010-0000-0800-000003000000}" name="실행 노드 ID 리스트"/>
    <tableColumn id="4" xr3:uid="{00000000-0010-0000-0800-000004000000}" name="실행노드수"/>
    <tableColumn id="5" xr3:uid="{00000000-0010-0000-0800-000005000000}" name="스킬 Desc"/>
  </tableColumns>
  <tableStyleInfo name="TableStyleLight1"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09000000}" name="광추스킬노드정의표" displayName="광추스킬노드정의표" ref="A4:L39" totalsRowShown="0">
  <autoFilter ref="A4:L39" xr:uid="{00000000-0009-0000-0100-000026000000}"/>
  <tableColumns count="12">
    <tableColumn id="1" xr3:uid="{00000000-0010-0000-0900-000001000000}" name="실행노드ID"/>
    <tableColumn id="2" xr3:uid="{00000000-0010-0000-0900-000002000000}" name="노드순서"/>
    <tableColumn id="3" xr3:uid="{00000000-0010-0000-0900-000003000000}" name="노드명"/>
    <tableColumn id="4" xr3:uid="{00000000-0010-0000-0900-000004000000}" name="발동ID"/>
    <tableColumn id="5" xr3:uid="{00000000-0010-0000-0900-000005000000}" name="조건 ID 리스트"/>
    <tableColumn id="6" xr3:uid="{00000000-0010-0000-0900-000006000000}" name="효과 ID 리스트"/>
    <tableColumn id="7" xr3:uid="{00000000-0010-0000-0900-000007000000}" name="상태 ID 리스트"/>
    <tableColumn id="8" xr3:uid="{00000000-0010-0000-0900-000008000000}" name="스킬 수치 ID 리스트"/>
    <tableColumn id="9" xr3:uid="{00000000-0010-0000-0900-000009000000}" name="고정값·처리"/>
    <tableColumn id="10" xr3:uid="{00000000-0010-0000-0900-00000A000000}" name="실행순서설명"/>
    <tableColumn id="11" xr3:uid="{00000000-0010-0000-0900-00000B000000}" name="런타임책임"/>
    <tableColumn id="12" xr3:uid="{00000000-0010-0000-0900-00000C000000}" name="검증"/>
  </tableColumns>
  <tableStyleInfo name="TableStyleLight1"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0A000000}" name="광추중첩수치표" displayName="광추중첩수치표" ref="A4:I55" totalsRowShown="0">
  <autoFilter ref="A4:I55" xr:uid="{00000000-0009-0000-0100-00001E000000}"/>
  <tableColumns count="9">
    <tableColumn id="1" xr3:uid="{00000000-0010-0000-0A00-000001000000}" name="스킬수치ID"/>
    <tableColumn id="3" xr3:uid="{00000000-0010-0000-0A00-000003000000}" name="파라미터키"/>
    <tableColumn id="4" xr3:uid="{00000000-0010-0000-0A00-000004000000}" name="의미"/>
    <tableColumn id="5" xr3:uid="{00000000-0010-0000-0A00-000005000000}" name="단위"/>
    <tableColumn id="6" xr3:uid="{00000000-0010-0000-0A00-000006000000}" name="1중첩"/>
    <tableColumn id="7" xr3:uid="{00000000-0010-0000-0A00-000007000000}" name="2중첩"/>
    <tableColumn id="8" xr3:uid="{00000000-0010-0000-0A00-000008000000}" name="3중첩"/>
    <tableColumn id="9" xr3:uid="{00000000-0010-0000-0A00-000009000000}" name="4중첩"/>
    <tableColumn id="10" xr3:uid="{00000000-0010-0000-0A00-00000A000000}" name="5중첩"/>
  </tableColumns>
  <tableStyleInfo name="TableStyleLight1"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0B000000}" name="광추원본직접속성감사표" displayName="광추원본직접속성감사표" ref="A4:J13" totalsRowShown="0">
  <autoFilter ref="A4:J13" xr:uid="{00000000-0009-0000-0100-000028000000}"/>
  <tableColumns count="10">
    <tableColumn id="1" xr3:uid="{00000000-0010-0000-0B00-000001000000}" name="이전설계ID"/>
    <tableColumn id="2" xr3:uid="{00000000-0010-0000-0B00-000002000000}" name="대응효과ID"/>
    <tableColumn id="3" xr3:uid="{00000000-0010-0000-0B00-000003000000}" name="속성명"/>
    <tableColumn id="4" xr3:uid="{00000000-0010-0000-0B00-000004000000}" name="단위"/>
    <tableColumn id="5" xr3:uid="{00000000-0010-0000-0B00-000005000000}" name="1중첩"/>
    <tableColumn id="6" xr3:uid="{00000000-0010-0000-0B00-000006000000}" name="2중첩"/>
    <tableColumn id="7" xr3:uid="{00000000-0010-0000-0B00-000007000000}" name="3중첩"/>
    <tableColumn id="8" xr3:uid="{00000000-0010-0000-0B00-000008000000}" name="4중첩"/>
    <tableColumn id="9" xr3:uid="{00000000-0010-0000-0B00-000009000000}" name="5중첩"/>
    <tableColumn id="10" xr3:uid="{00000000-0010-0000-0B00-00000A000000}" name="사용정책"/>
  </tableColumns>
  <tableStyleInfo name="TableStyleLight1"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0C000000}" name="광추상태정의표" displayName="광추상태정의표" ref="A2:I11" totalsRowShown="0">
  <autoFilter ref="A2:I11" xr:uid="{00000000-0009-0000-0100-000020000000}"/>
  <sortState xmlns:xlrd2="http://schemas.microsoft.com/office/spreadsheetml/2017/richdata2" ref="A3:I11">
    <sortCondition ref="A2:A11"/>
  </sortState>
  <tableColumns count="9">
    <tableColumn id="1" xr3:uid="{00000000-0010-0000-0C00-000001000000}" name="상태ID"/>
    <tableColumn id="3" xr3:uid="{00000000-0010-0000-0C00-000003000000}" name="상태명"/>
    <tableColumn id="4" xr3:uid="{00000000-0010-0000-0C00-000004000000}" name="보유대상"/>
    <tableColumn id="5" xr3:uid="{00000000-0010-0000-0C00-000005000000}" name="지속값"/>
    <tableColumn id="6" xr3:uid="{00000000-0010-0000-0C00-000006000000}" name="지속단위"/>
    <tableColumn id="7" xr3:uid="{00000000-0010-0000-0C00-000007000000}" name="최대중첩"/>
    <tableColumn id="8" xr3:uid="{00000000-0010-0000-0C00-000008000000}" name="갱신방식"/>
    <tableColumn id="9" xr3:uid="{00000000-0010-0000-0C00-000009000000}" name="해제규칙"/>
    <tableColumn id="10" xr3:uid="{00000000-0010-0000-0C00-00000A000000}" name="런타임메모"/>
  </tableColumns>
  <tableStyleInfo name="TableStyleLight1"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0D000000}" name="광추발동정의표" displayName="광추발동정의표" ref="A4:G39" totalsRowShown="0">
  <autoFilter ref="A4:G39" xr:uid="{00000000-0009-0000-0100-000021000000}"/>
  <sortState xmlns:xlrd2="http://schemas.microsoft.com/office/spreadsheetml/2017/richdata2" ref="A5:G39">
    <sortCondition ref="A4:A39"/>
  </sortState>
  <tableColumns count="7">
    <tableColumn id="1" xr3:uid="{00000000-0010-0000-0D00-000001000000}" name="발동ID"/>
    <tableColumn id="3" xr3:uid="{00000000-0010-0000-0D00-000003000000}" name="순서"/>
    <tableColumn id="4" xr3:uid="{00000000-0010-0000-0D00-000004000000}" name="발동이벤트"/>
    <tableColumn id="5" xr3:uid="{00000000-0010-0000-0D00-000005000000}" name="행동필터"/>
    <tableColumn id="6" xr3:uid="{00000000-0010-0000-0D00-000006000000}" name="발동주체"/>
    <tableColumn id="7" xr3:uid="{00000000-0010-0000-0D00-000007000000}" name="적용대상"/>
    <tableColumn id="8" xr3:uid="{00000000-0010-0000-0D00-000008000000}" name="실행요약"/>
  </tableColumns>
  <tableStyleInfo name="TableStyleLight1"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0E000000}" name="광추조건정의표" displayName="광추조건정의표" ref="A4:G16" totalsRowShown="0">
  <autoFilter ref="A4:G16" xr:uid="{00000000-0009-0000-0100-000022000000}"/>
  <sortState xmlns:xlrd2="http://schemas.microsoft.com/office/spreadsheetml/2017/richdata2" ref="A5:G16">
    <sortCondition ref="A4:A16"/>
  </sortState>
  <tableColumns count="7">
    <tableColumn id="1" xr3:uid="{00000000-0010-0000-0E00-000001000000}" name="조건ID"/>
    <tableColumn id="3" xr3:uid="{00000000-0010-0000-0E00-000003000000}" name="조건명"/>
    <tableColumn id="4" xr3:uid="{00000000-0010-0000-0E00-000004000000}" name="비교속성"/>
    <tableColumn id="5" xr3:uid="{00000000-0010-0000-0E00-000005000000}" name="비교연산" dataDxfId="1"/>
    <tableColumn id="6" xr3:uid="{00000000-0010-0000-0E00-000006000000}" name="비교값"/>
    <tableColumn id="7" xr3:uid="{00000000-0010-0000-0E00-000007000000}" name="비교값출처" dataDxfId="0"/>
    <tableColumn id="8" xr3:uid="{00000000-0010-0000-0E00-000008000000}" name="미충족처리"/>
  </tableColumns>
  <tableStyleInfo name="TableStyleLight1"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0F000000}" name="광추효과정의표" displayName="광추효과정의표" ref="A4:H45" totalsRowShown="0">
  <autoFilter ref="A4:H45" xr:uid="{00000000-0009-0000-0100-000023000000}"/>
  <sortState xmlns:xlrd2="http://schemas.microsoft.com/office/spreadsheetml/2017/richdata2" ref="A5:H45">
    <sortCondition ref="A4:A45"/>
  </sortState>
  <tableColumns count="8">
    <tableColumn id="1" xr3:uid="{00000000-0010-0000-0F00-000001000000}" name="효과ID"/>
    <tableColumn id="3" xr3:uid="{00000000-0010-0000-0F00-000003000000}" name="적용상황"/>
    <tableColumn id="4" xr3:uid="{00000000-0010-0000-0F00-000004000000}" name="적용대상"/>
    <tableColumn id="5" xr3:uid="{00000000-0010-0000-0F00-000005000000}" name="효과분류"/>
    <tableColumn id="6" xr3:uid="{00000000-0010-0000-0F00-000006000000}" name="효과항목"/>
    <tableColumn id="7" xr3:uid="{00000000-0010-0000-0F00-000007000000}" name="수치·계산식"/>
    <tableColumn id="8" xr3:uid="{00000000-0010-0000-0F00-000008000000}" name="적용방식"/>
    <tableColumn id="9" xr3:uid="{00000000-0010-0000-0F00-000009000000}" name="비고"/>
  </tableColumns>
  <tableStyleInfo name="TableStyleLight1"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10000000}" name="광추ID참조규칙표" displayName="광추ID참조규칙표" ref="A4:F14" totalsRowShown="0">
  <autoFilter ref="A4:F14" xr:uid="{00000000-0009-0000-0100-000027000000}"/>
  <tableColumns count="6">
    <tableColumn id="1" xr3:uid="{00000000-0010-0000-1000-000001000000}" name="규칙ID"/>
    <tableColumn id="2" xr3:uid="{00000000-0010-0000-1000-000002000000}" name="대상"/>
    <tableColumn id="3" xr3:uid="{00000000-0010-0000-1000-000003000000}" name="형식·규칙"/>
    <tableColumn id="4" xr3:uid="{00000000-0010-0000-1000-000004000000}" name="예시"/>
    <tableColumn id="5" xr3:uid="{00000000-0010-0000-1000-000005000000}" name="소유·작동 방식"/>
    <tableColumn id="6" xr3:uid="{00000000-0010-0000-1000-000006000000}" name="검증·실패 처리"/>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15"/>
  <sheetViews>
    <sheetView showGridLines="0" tabSelected="1" topLeftCell="A14" workbookViewId="0">
      <selection activeCell="A16" sqref="A16"/>
    </sheetView>
  </sheetViews>
  <sheetFormatPr defaultRowHeight="14.25"/>
  <cols>
    <col min="1" max="1" width="24" customWidth="1"/>
    <col min="2" max="2" width="38" customWidth="1"/>
    <col min="3" max="7" width="17" customWidth="1"/>
    <col min="8" max="10" width="24" customWidth="1"/>
    <col min="11" max="12" width="64" customWidth="1"/>
    <col min="13" max="16" width="17" customWidth="1"/>
    <col min="17" max="18" width="42" customWidth="1"/>
    <col min="19" max="19" width="24" customWidth="1"/>
  </cols>
  <sheetData>
    <row r="1" spans="1:18" ht="30" customHeight="1">
      <c r="A1" s="15" t="s">
        <v>912</v>
      </c>
      <c r="B1" s="15"/>
      <c r="C1" s="15"/>
      <c r="D1" s="15"/>
      <c r="E1" s="15"/>
      <c r="F1" s="15"/>
      <c r="G1" s="15"/>
      <c r="H1" s="15"/>
      <c r="I1" s="15"/>
      <c r="J1" s="15"/>
      <c r="K1" s="15"/>
      <c r="L1" s="15"/>
      <c r="M1" s="15"/>
      <c r="N1" s="15"/>
      <c r="O1" s="15"/>
      <c r="P1" s="15"/>
      <c r="Q1" s="15"/>
      <c r="R1" s="15"/>
    </row>
    <row r="2" spans="1:18" ht="36" customHeight="1">
      <c r="A2" s="16" t="s">
        <v>913</v>
      </c>
      <c r="B2" s="16"/>
      <c r="C2" s="16"/>
      <c r="D2" s="16"/>
      <c r="E2" s="16"/>
      <c r="F2" s="16"/>
      <c r="G2" s="16"/>
      <c r="H2" s="16"/>
      <c r="I2" s="16"/>
      <c r="J2" s="16"/>
      <c r="K2" s="16"/>
      <c r="L2" s="16"/>
      <c r="M2" s="16"/>
      <c r="N2" s="16"/>
      <c r="O2" s="16"/>
      <c r="P2" s="16"/>
      <c r="Q2" s="16"/>
      <c r="R2" s="16"/>
    </row>
    <row r="3" spans="1:18" ht="24" customHeight="1">
      <c r="A3" s="17" t="s">
        <v>914</v>
      </c>
      <c r="B3" s="17"/>
      <c r="C3" s="17"/>
      <c r="D3" s="17"/>
      <c r="E3" s="17"/>
      <c r="F3" s="17"/>
      <c r="G3" s="17"/>
      <c r="H3" s="17"/>
      <c r="I3" s="17"/>
      <c r="J3" s="17"/>
      <c r="K3" s="17"/>
      <c r="L3" s="17"/>
      <c r="M3" s="17"/>
      <c r="N3" s="17"/>
      <c r="O3" s="17"/>
      <c r="P3" s="17"/>
      <c r="Q3" s="17"/>
      <c r="R3" s="17"/>
    </row>
    <row r="4" spans="1:18" ht="36" customHeight="1">
      <c r="A4" s="13" t="s">
        <v>175</v>
      </c>
      <c r="B4" s="13" t="s">
        <v>915</v>
      </c>
      <c r="C4" s="13" t="s">
        <v>916</v>
      </c>
      <c r="D4" s="13" t="s">
        <v>917</v>
      </c>
      <c r="E4" s="13" t="s">
        <v>918</v>
      </c>
      <c r="F4" s="13" t="s">
        <v>919</v>
      </c>
      <c r="G4" s="13" t="s">
        <v>920</v>
      </c>
      <c r="H4" s="13" t="s">
        <v>921</v>
      </c>
      <c r="I4" s="13" t="s">
        <v>922</v>
      </c>
      <c r="J4" s="13" t="s">
        <v>923</v>
      </c>
      <c r="K4" s="13" t="s">
        <v>924</v>
      </c>
      <c r="L4" s="13" t="s">
        <v>925</v>
      </c>
      <c r="M4" s="13" t="s">
        <v>926</v>
      </c>
      <c r="N4" s="13" t="s">
        <v>927</v>
      </c>
      <c r="O4" s="13" t="s">
        <v>928</v>
      </c>
      <c r="P4" s="13" t="s">
        <v>929</v>
      </c>
      <c r="Q4" s="13" t="s">
        <v>930</v>
      </c>
      <c r="R4" s="13" t="s">
        <v>931</v>
      </c>
    </row>
    <row r="5" spans="1:18" ht="252">
      <c r="A5" s="9" t="s">
        <v>179</v>
      </c>
      <c r="B5" s="9" t="s">
        <v>1365</v>
      </c>
      <c r="C5" s="9" t="s">
        <v>932</v>
      </c>
      <c r="D5" s="9" t="s">
        <v>933</v>
      </c>
      <c r="E5" s="9">
        <v>6</v>
      </c>
      <c r="F5" s="9">
        <v>5</v>
      </c>
      <c r="G5" s="9" t="s">
        <v>5</v>
      </c>
      <c r="H5" s="9" t="s">
        <v>934</v>
      </c>
      <c r="I5" s="9">
        <v>23039</v>
      </c>
      <c r="J5" s="9" t="s">
        <v>31</v>
      </c>
      <c r="K5" s="9" t="s">
        <v>935</v>
      </c>
      <c r="L5" s="9" t="s">
        <v>936</v>
      </c>
      <c r="M5" s="9" t="s">
        <v>937</v>
      </c>
      <c r="N5" s="9">
        <v>9999</v>
      </c>
      <c r="O5" s="9" t="s">
        <v>152</v>
      </c>
      <c r="P5" s="9" t="s">
        <v>938</v>
      </c>
      <c r="Q5" s="9" t="s">
        <v>939</v>
      </c>
      <c r="R5" s="9" t="s">
        <v>940</v>
      </c>
    </row>
    <row r="6" spans="1:18" ht="168">
      <c r="A6" s="9" t="s">
        <v>204</v>
      </c>
      <c r="B6" s="9" t="s">
        <v>941</v>
      </c>
      <c r="C6" s="9" t="s">
        <v>942</v>
      </c>
      <c r="D6" s="9" t="s">
        <v>933</v>
      </c>
      <c r="E6" s="9">
        <v>6</v>
      </c>
      <c r="F6" s="9">
        <v>5</v>
      </c>
      <c r="G6" s="9" t="s">
        <v>5</v>
      </c>
      <c r="H6" s="9" t="s">
        <v>943</v>
      </c>
      <c r="I6" s="9">
        <v>23031</v>
      </c>
      <c r="J6" s="9" t="s">
        <v>34</v>
      </c>
      <c r="K6" s="9" t="s">
        <v>944</v>
      </c>
      <c r="L6" s="9" t="s">
        <v>945</v>
      </c>
      <c r="M6" s="9" t="s">
        <v>937</v>
      </c>
      <c r="N6" s="9">
        <v>9999</v>
      </c>
      <c r="O6" s="9" t="s">
        <v>154</v>
      </c>
      <c r="P6" s="9" t="s">
        <v>938</v>
      </c>
      <c r="Q6" s="9" t="s">
        <v>946</v>
      </c>
      <c r="R6" s="9" t="s">
        <v>947</v>
      </c>
    </row>
    <row r="7" spans="1:18" ht="228">
      <c r="A7" s="9" t="s">
        <v>228</v>
      </c>
      <c r="B7" s="9" t="s">
        <v>948</v>
      </c>
      <c r="C7" s="9" t="s">
        <v>949</v>
      </c>
      <c r="D7" s="9" t="s">
        <v>933</v>
      </c>
      <c r="E7" s="9">
        <v>6</v>
      </c>
      <c r="F7" s="9">
        <v>5</v>
      </c>
      <c r="G7" s="9" t="s">
        <v>5</v>
      </c>
      <c r="H7" s="9" t="s">
        <v>950</v>
      </c>
      <c r="I7" s="9">
        <v>23060</v>
      </c>
      <c r="J7" s="9" t="s">
        <v>37</v>
      </c>
      <c r="K7" s="9" t="s">
        <v>951</v>
      </c>
      <c r="L7" s="9" t="s">
        <v>952</v>
      </c>
      <c r="M7" s="9" t="s">
        <v>937</v>
      </c>
      <c r="N7" s="9">
        <v>9999</v>
      </c>
      <c r="O7" s="9" t="s">
        <v>156</v>
      </c>
      <c r="P7" s="9" t="s">
        <v>938</v>
      </c>
      <c r="Q7" s="9" t="s">
        <v>953</v>
      </c>
      <c r="R7" s="9" t="s">
        <v>954</v>
      </c>
    </row>
    <row r="8" spans="1:18" ht="168">
      <c r="A8" s="9" t="s">
        <v>252</v>
      </c>
      <c r="B8" s="9" t="s">
        <v>955</v>
      </c>
      <c r="C8" s="9" t="s">
        <v>956</v>
      </c>
      <c r="D8" s="9" t="s">
        <v>933</v>
      </c>
      <c r="E8" s="9">
        <v>6</v>
      </c>
      <c r="F8" s="9">
        <v>5</v>
      </c>
      <c r="G8" s="9" t="s">
        <v>5</v>
      </c>
      <c r="H8" s="9" t="s">
        <v>957</v>
      </c>
      <c r="I8" s="9">
        <v>23034</v>
      </c>
      <c r="J8" s="9" t="s">
        <v>40</v>
      </c>
      <c r="K8" s="9" t="s">
        <v>958</v>
      </c>
      <c r="L8" s="9" t="s">
        <v>959</v>
      </c>
      <c r="M8" s="9" t="s">
        <v>937</v>
      </c>
      <c r="N8" s="9">
        <v>9999</v>
      </c>
      <c r="O8" s="9" t="s">
        <v>158</v>
      </c>
      <c r="P8" s="9" t="s">
        <v>938</v>
      </c>
      <c r="Q8" s="9" t="s">
        <v>960</v>
      </c>
      <c r="R8" s="9" t="s">
        <v>961</v>
      </c>
    </row>
    <row r="9" spans="1:18" ht="120">
      <c r="A9" s="9" t="s">
        <v>276</v>
      </c>
      <c r="B9" s="9" t="s">
        <v>962</v>
      </c>
      <c r="C9" s="9" t="s">
        <v>963</v>
      </c>
      <c r="D9" s="9" t="s">
        <v>933</v>
      </c>
      <c r="E9" s="9">
        <v>6</v>
      </c>
      <c r="F9" s="9">
        <v>5</v>
      </c>
      <c r="G9" s="9" t="s">
        <v>5</v>
      </c>
      <c r="H9" s="9" t="s">
        <v>964</v>
      </c>
      <c r="I9" s="9">
        <v>23050</v>
      </c>
      <c r="J9" s="9" t="s">
        <v>43</v>
      </c>
      <c r="K9" s="9" t="s">
        <v>965</v>
      </c>
      <c r="L9" s="9" t="s">
        <v>966</v>
      </c>
      <c r="M9" s="9" t="s">
        <v>937</v>
      </c>
      <c r="N9" s="9">
        <v>9999</v>
      </c>
      <c r="O9" s="9" t="s">
        <v>160</v>
      </c>
      <c r="P9" s="9" t="s">
        <v>938</v>
      </c>
      <c r="Q9" s="9" t="s">
        <v>967</v>
      </c>
      <c r="R9" s="9" t="s">
        <v>968</v>
      </c>
    </row>
    <row r="10" spans="1:18" ht="252">
      <c r="A10" s="9" t="s">
        <v>297</v>
      </c>
      <c r="B10" s="9" t="s">
        <v>969</v>
      </c>
      <c r="C10" s="9" t="s">
        <v>970</v>
      </c>
      <c r="D10" s="9" t="s">
        <v>933</v>
      </c>
      <c r="E10" s="9">
        <v>6</v>
      </c>
      <c r="F10" s="9">
        <v>5</v>
      </c>
      <c r="G10" s="9" t="s">
        <v>5</v>
      </c>
      <c r="H10" s="9" t="s">
        <v>971</v>
      </c>
      <c r="I10" s="9">
        <v>23051</v>
      </c>
      <c r="J10" s="9" t="s">
        <v>46</v>
      </c>
      <c r="K10" s="9" t="s">
        <v>972</v>
      </c>
      <c r="L10" s="9" t="s">
        <v>973</v>
      </c>
      <c r="M10" s="9" t="s">
        <v>937</v>
      </c>
      <c r="N10" s="9">
        <v>9999</v>
      </c>
      <c r="O10" s="9" t="s">
        <v>162</v>
      </c>
      <c r="P10" s="9" t="s">
        <v>938</v>
      </c>
      <c r="Q10" s="9" t="s">
        <v>974</v>
      </c>
      <c r="R10" s="9" t="s">
        <v>975</v>
      </c>
    </row>
    <row r="11" spans="1:18" ht="108">
      <c r="A11" s="9" t="s">
        <v>318</v>
      </c>
      <c r="B11" s="9" t="s">
        <v>976</v>
      </c>
      <c r="C11" s="9" t="s">
        <v>977</v>
      </c>
      <c r="D11" s="9" t="s">
        <v>933</v>
      </c>
      <c r="E11" s="9">
        <v>6</v>
      </c>
      <c r="F11" s="9">
        <v>5</v>
      </c>
      <c r="G11" s="9" t="s">
        <v>5</v>
      </c>
      <c r="H11" s="9" t="s">
        <v>978</v>
      </c>
      <c r="I11" s="9">
        <v>23032</v>
      </c>
      <c r="J11" s="9" t="s">
        <v>49</v>
      </c>
      <c r="K11" s="9" t="s">
        <v>979</v>
      </c>
      <c r="L11" s="9" t="s">
        <v>980</v>
      </c>
      <c r="M11" s="9" t="s">
        <v>937</v>
      </c>
      <c r="N11" s="9">
        <v>9999</v>
      </c>
      <c r="O11" s="9" t="s">
        <v>164</v>
      </c>
      <c r="P11" s="9" t="s">
        <v>938</v>
      </c>
      <c r="Q11" s="9" t="s">
        <v>981</v>
      </c>
      <c r="R11" s="9" t="s">
        <v>982</v>
      </c>
    </row>
    <row r="12" spans="1:18" ht="204">
      <c r="A12" s="9" t="s">
        <v>342</v>
      </c>
      <c r="B12" s="9" t="s">
        <v>983</v>
      </c>
      <c r="C12" s="9" t="s">
        <v>984</v>
      </c>
      <c r="D12" s="9" t="s">
        <v>933</v>
      </c>
      <c r="E12" s="9">
        <v>6</v>
      </c>
      <c r="F12" s="9">
        <v>5</v>
      </c>
      <c r="G12" s="9" t="s">
        <v>5</v>
      </c>
      <c r="H12" s="9" t="s">
        <v>985</v>
      </c>
      <c r="I12" s="9">
        <v>23052</v>
      </c>
      <c r="J12" s="9" t="s">
        <v>52</v>
      </c>
      <c r="K12" s="9" t="s">
        <v>986</v>
      </c>
      <c r="L12" s="9" t="s">
        <v>987</v>
      </c>
      <c r="M12" s="9" t="s">
        <v>937</v>
      </c>
      <c r="N12" s="9">
        <v>9999</v>
      </c>
      <c r="O12" s="9" t="s">
        <v>166</v>
      </c>
      <c r="P12" s="9" t="s">
        <v>938</v>
      </c>
      <c r="Q12" s="9" t="s">
        <v>988</v>
      </c>
      <c r="R12" s="9" t="s">
        <v>989</v>
      </c>
    </row>
    <row r="13" spans="1:18" ht="168">
      <c r="A13" s="9" t="s">
        <v>363</v>
      </c>
      <c r="B13" s="9" t="s">
        <v>990</v>
      </c>
      <c r="C13" s="9" t="s">
        <v>991</v>
      </c>
      <c r="D13" s="9" t="s">
        <v>933</v>
      </c>
      <c r="E13" s="9">
        <v>6</v>
      </c>
      <c r="F13" s="9">
        <v>5</v>
      </c>
      <c r="G13" s="9" t="s">
        <v>5</v>
      </c>
      <c r="H13" s="9" t="s">
        <v>992</v>
      </c>
      <c r="I13" s="9">
        <v>23058</v>
      </c>
      <c r="J13" s="9" t="s">
        <v>55</v>
      </c>
      <c r="K13" s="9" t="s">
        <v>993</v>
      </c>
      <c r="L13" s="9" t="s">
        <v>994</v>
      </c>
      <c r="M13" s="9" t="s">
        <v>937</v>
      </c>
      <c r="N13" s="9">
        <v>9999</v>
      </c>
      <c r="O13" s="9" t="s">
        <v>168</v>
      </c>
      <c r="P13" s="9" t="s">
        <v>938</v>
      </c>
      <c r="Q13" s="9" t="s">
        <v>995</v>
      </c>
      <c r="R13" s="9" t="s">
        <v>996</v>
      </c>
    </row>
    <row r="14" spans="1:18" ht="216">
      <c r="A14" s="9" t="s">
        <v>384</v>
      </c>
      <c r="B14" s="9" t="s">
        <v>997</v>
      </c>
      <c r="C14" s="9" t="s">
        <v>984</v>
      </c>
      <c r="D14" s="9" t="s">
        <v>933</v>
      </c>
      <c r="E14" s="9">
        <v>6</v>
      </c>
      <c r="F14" s="9">
        <v>5</v>
      </c>
      <c r="G14" s="9" t="s">
        <v>5</v>
      </c>
      <c r="H14" s="9" t="s">
        <v>998</v>
      </c>
      <c r="I14" s="9">
        <v>23042</v>
      </c>
      <c r="J14" s="9" t="s">
        <v>58</v>
      </c>
      <c r="K14" s="9" t="s">
        <v>986</v>
      </c>
      <c r="L14" s="9" t="s">
        <v>999</v>
      </c>
      <c r="M14" s="9" t="s">
        <v>937</v>
      </c>
      <c r="N14" s="9">
        <v>9999</v>
      </c>
      <c r="O14" s="9" t="s">
        <v>170</v>
      </c>
      <c r="P14" s="9" t="s">
        <v>938</v>
      </c>
      <c r="Q14" s="9" t="s">
        <v>1000</v>
      </c>
      <c r="R14" s="9" t="s">
        <v>1001</v>
      </c>
    </row>
    <row r="15" spans="1:18" ht="216">
      <c r="A15" s="9" t="s">
        <v>1366</v>
      </c>
      <c r="B15" s="9" t="s">
        <v>997</v>
      </c>
      <c r="C15" s="9" t="s">
        <v>984</v>
      </c>
      <c r="D15" s="9" t="s">
        <v>933</v>
      </c>
      <c r="E15" s="9">
        <v>6</v>
      </c>
      <c r="F15" s="9">
        <v>5</v>
      </c>
      <c r="G15" s="9" t="s">
        <v>5</v>
      </c>
      <c r="H15" s="9" t="s">
        <v>998</v>
      </c>
      <c r="I15" s="9">
        <v>23042</v>
      </c>
      <c r="J15" s="9" t="s">
        <v>58</v>
      </c>
      <c r="K15" s="9" t="s">
        <v>986</v>
      </c>
      <c r="L15" s="9" t="s">
        <v>999</v>
      </c>
      <c r="M15" s="9" t="s">
        <v>937</v>
      </c>
      <c r="N15" s="9">
        <v>9999</v>
      </c>
      <c r="O15" s="9" t="s">
        <v>170</v>
      </c>
      <c r="P15" s="9" t="s">
        <v>938</v>
      </c>
      <c r="Q15" s="9" t="s">
        <v>1000</v>
      </c>
      <c r="R15" s="9" t="s">
        <v>1001</v>
      </c>
    </row>
  </sheetData>
  <mergeCells count="3">
    <mergeCell ref="A1:R1"/>
    <mergeCell ref="A2:R2"/>
    <mergeCell ref="A3:R3"/>
  </mergeCells>
  <phoneticPr fontId="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242"/>
  <sheetViews>
    <sheetView showGridLines="0" workbookViewId="0"/>
  </sheetViews>
  <sheetFormatPr defaultRowHeight="14.25"/>
  <cols>
    <col min="1" max="1" width="16" customWidth="1"/>
    <col min="2" max="2" width="14" customWidth="1"/>
    <col min="3" max="3" width="24" customWidth="1"/>
    <col min="4" max="4" width="28" customWidth="1"/>
  </cols>
  <sheetData>
    <row r="1" spans="1:4" ht="30" customHeight="1">
      <c r="A1" s="18" t="s">
        <v>0</v>
      </c>
      <c r="B1" s="18"/>
      <c r="C1" s="18"/>
      <c r="D1" s="18"/>
    </row>
    <row r="2" spans="1:4" ht="36" customHeight="1">
      <c r="A2" s="1" t="s">
        <v>1</v>
      </c>
      <c r="B2" s="1" t="s">
        <v>2</v>
      </c>
      <c r="C2" s="1" t="s">
        <v>3</v>
      </c>
      <c r="D2" s="1" t="s">
        <v>4</v>
      </c>
    </row>
    <row r="3" spans="1:4">
      <c r="A3" s="2" t="s">
        <v>5</v>
      </c>
      <c r="B3" s="2">
        <v>1</v>
      </c>
      <c r="C3" s="3">
        <v>60</v>
      </c>
      <c r="D3" s="3">
        <f>0</f>
        <v>0</v>
      </c>
    </row>
    <row r="4" spans="1:4">
      <c r="A4" s="2" t="s">
        <v>5</v>
      </c>
      <c r="B4" s="2">
        <v>2</v>
      </c>
      <c r="C4" s="3">
        <v>100</v>
      </c>
      <c r="D4" s="3">
        <f t="shared" ref="D4:D35" si="0">D3+C3</f>
        <v>60</v>
      </c>
    </row>
    <row r="5" spans="1:4">
      <c r="A5" s="2" t="s">
        <v>5</v>
      </c>
      <c r="B5" s="2">
        <v>3</v>
      </c>
      <c r="C5" s="3">
        <v>170</v>
      </c>
      <c r="D5" s="3">
        <f t="shared" si="0"/>
        <v>160</v>
      </c>
    </row>
    <row r="6" spans="1:4">
      <c r="A6" s="2" t="s">
        <v>5</v>
      </c>
      <c r="B6" s="2">
        <v>4</v>
      </c>
      <c r="C6" s="3">
        <v>260</v>
      </c>
      <c r="D6" s="3">
        <f t="shared" si="0"/>
        <v>330</v>
      </c>
    </row>
    <row r="7" spans="1:4">
      <c r="A7" s="2" t="s">
        <v>5</v>
      </c>
      <c r="B7" s="2">
        <v>5</v>
      </c>
      <c r="C7" s="3">
        <v>370</v>
      </c>
      <c r="D7" s="3">
        <f t="shared" si="0"/>
        <v>590</v>
      </c>
    </row>
    <row r="8" spans="1:4">
      <c r="A8" s="2" t="s">
        <v>5</v>
      </c>
      <c r="B8" s="2">
        <v>6</v>
      </c>
      <c r="C8" s="3">
        <v>500</v>
      </c>
      <c r="D8" s="3">
        <f t="shared" si="0"/>
        <v>960</v>
      </c>
    </row>
    <row r="9" spans="1:4">
      <c r="A9" s="2" t="s">
        <v>5</v>
      </c>
      <c r="B9" s="2">
        <v>7</v>
      </c>
      <c r="C9" s="3">
        <v>640</v>
      </c>
      <c r="D9" s="3">
        <f t="shared" si="0"/>
        <v>1460</v>
      </c>
    </row>
    <row r="10" spans="1:4">
      <c r="A10" s="2" t="s">
        <v>5</v>
      </c>
      <c r="B10" s="2">
        <v>8</v>
      </c>
      <c r="C10" s="3">
        <v>800</v>
      </c>
      <c r="D10" s="3">
        <f t="shared" si="0"/>
        <v>2100</v>
      </c>
    </row>
    <row r="11" spans="1:4">
      <c r="A11" s="2" t="s">
        <v>5</v>
      </c>
      <c r="B11" s="2">
        <v>9</v>
      </c>
      <c r="C11" s="3">
        <v>970</v>
      </c>
      <c r="D11" s="3">
        <f t="shared" si="0"/>
        <v>2900</v>
      </c>
    </row>
    <row r="12" spans="1:4">
      <c r="A12" s="2" t="s">
        <v>5</v>
      </c>
      <c r="B12" s="2">
        <v>10</v>
      </c>
      <c r="C12" s="3">
        <v>1160</v>
      </c>
      <c r="D12" s="3">
        <f t="shared" si="0"/>
        <v>3870</v>
      </c>
    </row>
    <row r="13" spans="1:4">
      <c r="A13" s="2" t="s">
        <v>5</v>
      </c>
      <c r="B13" s="2">
        <v>11</v>
      </c>
      <c r="C13" s="3">
        <v>1360</v>
      </c>
      <c r="D13" s="3">
        <f t="shared" si="0"/>
        <v>5030</v>
      </c>
    </row>
    <row r="14" spans="1:4">
      <c r="A14" s="2" t="s">
        <v>5</v>
      </c>
      <c r="B14" s="2">
        <v>12</v>
      </c>
      <c r="C14" s="3">
        <v>1580</v>
      </c>
      <c r="D14" s="3">
        <f t="shared" si="0"/>
        <v>6390</v>
      </c>
    </row>
    <row r="15" spans="1:4">
      <c r="A15" s="2" t="s">
        <v>5</v>
      </c>
      <c r="B15" s="2">
        <v>13</v>
      </c>
      <c r="C15" s="3">
        <v>1820</v>
      </c>
      <c r="D15" s="3">
        <f t="shared" si="0"/>
        <v>7970</v>
      </c>
    </row>
    <row r="16" spans="1:4">
      <c r="A16" s="2" t="s">
        <v>5</v>
      </c>
      <c r="B16" s="2">
        <v>14</v>
      </c>
      <c r="C16" s="3">
        <v>2060</v>
      </c>
      <c r="D16" s="3">
        <f t="shared" si="0"/>
        <v>9790</v>
      </c>
    </row>
    <row r="17" spans="1:4">
      <c r="A17" s="2" t="s">
        <v>5</v>
      </c>
      <c r="B17" s="2">
        <v>15</v>
      </c>
      <c r="C17" s="3">
        <v>2320</v>
      </c>
      <c r="D17" s="3">
        <f t="shared" si="0"/>
        <v>11850</v>
      </c>
    </row>
    <row r="18" spans="1:4">
      <c r="A18" s="2" t="s">
        <v>5</v>
      </c>
      <c r="B18" s="2">
        <v>16</v>
      </c>
      <c r="C18" s="3">
        <v>2600</v>
      </c>
      <c r="D18" s="3">
        <f t="shared" si="0"/>
        <v>14170</v>
      </c>
    </row>
    <row r="19" spans="1:4">
      <c r="A19" s="2" t="s">
        <v>5</v>
      </c>
      <c r="B19" s="2">
        <v>17</v>
      </c>
      <c r="C19" s="3">
        <v>2880</v>
      </c>
      <c r="D19" s="3">
        <f t="shared" si="0"/>
        <v>16770</v>
      </c>
    </row>
    <row r="20" spans="1:4">
      <c r="A20" s="2" t="s">
        <v>5</v>
      </c>
      <c r="B20" s="2">
        <v>18</v>
      </c>
      <c r="C20" s="3">
        <v>3180</v>
      </c>
      <c r="D20" s="3">
        <f t="shared" si="0"/>
        <v>19650</v>
      </c>
    </row>
    <row r="21" spans="1:4">
      <c r="A21" s="2" t="s">
        <v>5</v>
      </c>
      <c r="B21" s="2">
        <v>19</v>
      </c>
      <c r="C21" s="3">
        <v>3490</v>
      </c>
      <c r="D21" s="3">
        <f t="shared" si="0"/>
        <v>22830</v>
      </c>
    </row>
    <row r="22" spans="1:4">
      <c r="A22" s="2" t="s">
        <v>5</v>
      </c>
      <c r="B22" s="2">
        <v>20</v>
      </c>
      <c r="C22" s="3">
        <v>3620</v>
      </c>
      <c r="D22" s="3">
        <f t="shared" si="0"/>
        <v>26320</v>
      </c>
    </row>
    <row r="23" spans="1:4">
      <c r="A23" s="2" t="s">
        <v>5</v>
      </c>
      <c r="B23" s="2">
        <v>21</v>
      </c>
      <c r="C23" s="3">
        <v>3760</v>
      </c>
      <c r="D23" s="3">
        <f t="shared" si="0"/>
        <v>29940</v>
      </c>
    </row>
    <row r="24" spans="1:4">
      <c r="A24" s="2" t="s">
        <v>5</v>
      </c>
      <c r="B24" s="2">
        <v>22</v>
      </c>
      <c r="C24" s="3">
        <v>3910</v>
      </c>
      <c r="D24" s="3">
        <f t="shared" si="0"/>
        <v>33700</v>
      </c>
    </row>
    <row r="25" spans="1:4">
      <c r="A25" s="2" t="s">
        <v>5</v>
      </c>
      <c r="B25" s="2">
        <v>23</v>
      </c>
      <c r="C25" s="3">
        <v>4050</v>
      </c>
      <c r="D25" s="3">
        <f t="shared" si="0"/>
        <v>37610</v>
      </c>
    </row>
    <row r="26" spans="1:4">
      <c r="A26" s="2" t="s">
        <v>5</v>
      </c>
      <c r="B26" s="2">
        <v>24</v>
      </c>
      <c r="C26" s="3">
        <v>4200</v>
      </c>
      <c r="D26" s="3">
        <f t="shared" si="0"/>
        <v>41660</v>
      </c>
    </row>
    <row r="27" spans="1:4">
      <c r="A27" s="2" t="s">
        <v>5</v>
      </c>
      <c r="B27" s="2">
        <v>25</v>
      </c>
      <c r="C27" s="3">
        <v>4360</v>
      </c>
      <c r="D27" s="3">
        <f t="shared" si="0"/>
        <v>45860</v>
      </c>
    </row>
    <row r="28" spans="1:4">
      <c r="A28" s="2" t="s">
        <v>5</v>
      </c>
      <c r="B28" s="2">
        <v>26</v>
      </c>
      <c r="C28" s="3">
        <v>4510</v>
      </c>
      <c r="D28" s="3">
        <f t="shared" si="0"/>
        <v>50220</v>
      </c>
    </row>
    <row r="29" spans="1:4">
      <c r="A29" s="2" t="s">
        <v>5</v>
      </c>
      <c r="B29" s="2">
        <v>27</v>
      </c>
      <c r="C29" s="3">
        <v>4670</v>
      </c>
      <c r="D29" s="3">
        <f t="shared" si="0"/>
        <v>54730</v>
      </c>
    </row>
    <row r="30" spans="1:4">
      <c r="A30" s="2" t="s">
        <v>5</v>
      </c>
      <c r="B30" s="2">
        <v>28</v>
      </c>
      <c r="C30" s="3">
        <v>4830</v>
      </c>
      <c r="D30" s="3">
        <f t="shared" si="0"/>
        <v>59400</v>
      </c>
    </row>
    <row r="31" spans="1:4">
      <c r="A31" s="2" t="s">
        <v>5</v>
      </c>
      <c r="B31" s="2">
        <v>29</v>
      </c>
      <c r="C31" s="3">
        <v>4990</v>
      </c>
      <c r="D31" s="3">
        <f t="shared" si="0"/>
        <v>64230</v>
      </c>
    </row>
    <row r="32" spans="1:4">
      <c r="A32" s="2" t="s">
        <v>5</v>
      </c>
      <c r="B32" s="2">
        <v>30</v>
      </c>
      <c r="C32" s="3">
        <v>5160</v>
      </c>
      <c r="D32" s="3">
        <f t="shared" si="0"/>
        <v>69220</v>
      </c>
    </row>
    <row r="33" spans="1:4">
      <c r="A33" s="2" t="s">
        <v>5</v>
      </c>
      <c r="B33" s="2">
        <v>31</v>
      </c>
      <c r="C33" s="3">
        <v>5330</v>
      </c>
      <c r="D33" s="3">
        <f t="shared" si="0"/>
        <v>74380</v>
      </c>
    </row>
    <row r="34" spans="1:4">
      <c r="A34" s="2" t="s">
        <v>5</v>
      </c>
      <c r="B34" s="2">
        <v>32</v>
      </c>
      <c r="C34" s="3">
        <v>5500</v>
      </c>
      <c r="D34" s="3">
        <f t="shared" si="0"/>
        <v>79710</v>
      </c>
    </row>
    <row r="35" spans="1:4">
      <c r="A35" s="2" t="s">
        <v>5</v>
      </c>
      <c r="B35" s="2">
        <v>33</v>
      </c>
      <c r="C35" s="3">
        <v>5670</v>
      </c>
      <c r="D35" s="3">
        <f t="shared" si="0"/>
        <v>85210</v>
      </c>
    </row>
    <row r="36" spans="1:4">
      <c r="A36" s="2" t="s">
        <v>5</v>
      </c>
      <c r="B36" s="2">
        <v>34</v>
      </c>
      <c r="C36" s="3">
        <v>5850</v>
      </c>
      <c r="D36" s="3">
        <f t="shared" ref="D36:D67" si="1">D35+C35</f>
        <v>90880</v>
      </c>
    </row>
    <row r="37" spans="1:4">
      <c r="A37" s="2" t="s">
        <v>5</v>
      </c>
      <c r="B37" s="2">
        <v>35</v>
      </c>
      <c r="C37" s="3">
        <v>6030</v>
      </c>
      <c r="D37" s="3">
        <f t="shared" si="1"/>
        <v>96730</v>
      </c>
    </row>
    <row r="38" spans="1:4">
      <c r="A38" s="2" t="s">
        <v>5</v>
      </c>
      <c r="B38" s="2">
        <v>36</v>
      </c>
      <c r="C38" s="3">
        <v>6210</v>
      </c>
      <c r="D38" s="3">
        <f t="shared" si="1"/>
        <v>102760</v>
      </c>
    </row>
    <row r="39" spans="1:4">
      <c r="A39" s="2" t="s">
        <v>5</v>
      </c>
      <c r="B39" s="2">
        <v>37</v>
      </c>
      <c r="C39" s="3">
        <v>6390</v>
      </c>
      <c r="D39" s="3">
        <f t="shared" si="1"/>
        <v>108970</v>
      </c>
    </row>
    <row r="40" spans="1:4">
      <c r="A40" s="2" t="s">
        <v>5</v>
      </c>
      <c r="B40" s="2">
        <v>38</v>
      </c>
      <c r="C40" s="3">
        <v>6580</v>
      </c>
      <c r="D40" s="3">
        <f t="shared" si="1"/>
        <v>115360</v>
      </c>
    </row>
    <row r="41" spans="1:4">
      <c r="A41" s="2" t="s">
        <v>5</v>
      </c>
      <c r="B41" s="2">
        <v>39</v>
      </c>
      <c r="C41" s="3">
        <v>6760</v>
      </c>
      <c r="D41" s="3">
        <f t="shared" si="1"/>
        <v>121940</v>
      </c>
    </row>
    <row r="42" spans="1:4">
      <c r="A42" s="2" t="s">
        <v>5</v>
      </c>
      <c r="B42" s="2">
        <v>40</v>
      </c>
      <c r="C42" s="3">
        <v>6950</v>
      </c>
      <c r="D42" s="3">
        <f t="shared" si="1"/>
        <v>128700</v>
      </c>
    </row>
    <row r="43" spans="1:4">
      <c r="A43" s="2" t="s">
        <v>5</v>
      </c>
      <c r="B43" s="2">
        <v>41</v>
      </c>
      <c r="C43" s="3">
        <v>7630</v>
      </c>
      <c r="D43" s="3">
        <f t="shared" si="1"/>
        <v>135650</v>
      </c>
    </row>
    <row r="44" spans="1:4">
      <c r="A44" s="2" t="s">
        <v>5</v>
      </c>
      <c r="B44" s="2">
        <v>42</v>
      </c>
      <c r="C44" s="3">
        <v>8060</v>
      </c>
      <c r="D44" s="3">
        <f t="shared" si="1"/>
        <v>143280</v>
      </c>
    </row>
    <row r="45" spans="1:4">
      <c r="A45" s="2" t="s">
        <v>5</v>
      </c>
      <c r="B45" s="2">
        <v>43</v>
      </c>
      <c r="C45" s="3">
        <v>8510</v>
      </c>
      <c r="D45" s="3">
        <f t="shared" si="1"/>
        <v>151340</v>
      </c>
    </row>
    <row r="46" spans="1:4">
      <c r="A46" s="2" t="s">
        <v>5</v>
      </c>
      <c r="B46" s="2">
        <v>44</v>
      </c>
      <c r="C46" s="3">
        <v>8970</v>
      </c>
      <c r="D46" s="3">
        <f t="shared" si="1"/>
        <v>159850</v>
      </c>
    </row>
    <row r="47" spans="1:4">
      <c r="A47" s="2" t="s">
        <v>5</v>
      </c>
      <c r="B47" s="2">
        <v>45</v>
      </c>
      <c r="C47" s="3">
        <v>9440</v>
      </c>
      <c r="D47" s="3">
        <f t="shared" si="1"/>
        <v>168820</v>
      </c>
    </row>
    <row r="48" spans="1:4">
      <c r="A48" s="2" t="s">
        <v>5</v>
      </c>
      <c r="B48" s="2">
        <v>46</v>
      </c>
      <c r="C48" s="3">
        <v>9910</v>
      </c>
      <c r="D48" s="3">
        <f t="shared" si="1"/>
        <v>178260</v>
      </c>
    </row>
    <row r="49" spans="1:4">
      <c r="A49" s="2" t="s">
        <v>5</v>
      </c>
      <c r="B49" s="2">
        <v>47</v>
      </c>
      <c r="C49" s="3">
        <v>10390</v>
      </c>
      <c r="D49" s="3">
        <f t="shared" si="1"/>
        <v>188170</v>
      </c>
    </row>
    <row r="50" spans="1:4">
      <c r="A50" s="2" t="s">
        <v>5</v>
      </c>
      <c r="B50" s="2">
        <v>48</v>
      </c>
      <c r="C50" s="3">
        <v>10890</v>
      </c>
      <c r="D50" s="3">
        <f t="shared" si="1"/>
        <v>198560</v>
      </c>
    </row>
    <row r="51" spans="1:4">
      <c r="A51" s="2" t="s">
        <v>5</v>
      </c>
      <c r="B51" s="2">
        <v>49</v>
      </c>
      <c r="C51" s="3">
        <v>11390</v>
      </c>
      <c r="D51" s="3">
        <f t="shared" si="1"/>
        <v>209450</v>
      </c>
    </row>
    <row r="52" spans="1:4">
      <c r="A52" s="2" t="s">
        <v>5</v>
      </c>
      <c r="B52" s="2">
        <v>50</v>
      </c>
      <c r="C52" s="3">
        <v>11900</v>
      </c>
      <c r="D52" s="3">
        <f t="shared" si="1"/>
        <v>220840</v>
      </c>
    </row>
    <row r="53" spans="1:4">
      <c r="A53" s="2" t="s">
        <v>5</v>
      </c>
      <c r="B53" s="2">
        <v>51</v>
      </c>
      <c r="C53" s="3">
        <v>12420</v>
      </c>
      <c r="D53" s="3">
        <f t="shared" si="1"/>
        <v>232740</v>
      </c>
    </row>
    <row r="54" spans="1:4">
      <c r="A54" s="2" t="s">
        <v>5</v>
      </c>
      <c r="B54" s="2">
        <v>52</v>
      </c>
      <c r="C54" s="3">
        <v>12940</v>
      </c>
      <c r="D54" s="3">
        <f t="shared" si="1"/>
        <v>245160</v>
      </c>
    </row>
    <row r="55" spans="1:4">
      <c r="A55" s="2" t="s">
        <v>5</v>
      </c>
      <c r="B55" s="2">
        <v>53</v>
      </c>
      <c r="C55" s="3">
        <v>13480</v>
      </c>
      <c r="D55" s="3">
        <f t="shared" si="1"/>
        <v>258100</v>
      </c>
    </row>
    <row r="56" spans="1:4">
      <c r="A56" s="2" t="s">
        <v>5</v>
      </c>
      <c r="B56" s="2">
        <v>54</v>
      </c>
      <c r="C56" s="3">
        <v>14020</v>
      </c>
      <c r="D56" s="3">
        <f t="shared" si="1"/>
        <v>271580</v>
      </c>
    </row>
    <row r="57" spans="1:4">
      <c r="A57" s="2" t="s">
        <v>5</v>
      </c>
      <c r="B57" s="2">
        <v>55</v>
      </c>
      <c r="C57" s="3">
        <v>14580</v>
      </c>
      <c r="D57" s="3">
        <f t="shared" si="1"/>
        <v>285600</v>
      </c>
    </row>
    <row r="58" spans="1:4">
      <c r="A58" s="2" t="s">
        <v>5</v>
      </c>
      <c r="B58" s="2">
        <v>56</v>
      </c>
      <c r="C58" s="3">
        <v>15140</v>
      </c>
      <c r="D58" s="3">
        <f t="shared" si="1"/>
        <v>300180</v>
      </c>
    </row>
    <row r="59" spans="1:4">
      <c r="A59" s="2" t="s">
        <v>5</v>
      </c>
      <c r="B59" s="2">
        <v>57</v>
      </c>
      <c r="C59" s="3">
        <v>15710</v>
      </c>
      <c r="D59" s="3">
        <f t="shared" si="1"/>
        <v>315320</v>
      </c>
    </row>
    <row r="60" spans="1:4">
      <c r="A60" s="2" t="s">
        <v>5</v>
      </c>
      <c r="B60" s="2">
        <v>58</v>
      </c>
      <c r="C60" s="3">
        <v>16290</v>
      </c>
      <c r="D60" s="3">
        <f t="shared" si="1"/>
        <v>331030</v>
      </c>
    </row>
    <row r="61" spans="1:4">
      <c r="A61" s="2" t="s">
        <v>5</v>
      </c>
      <c r="B61" s="2">
        <v>59</v>
      </c>
      <c r="C61" s="3">
        <v>16880</v>
      </c>
      <c r="D61" s="3">
        <f t="shared" si="1"/>
        <v>347320</v>
      </c>
    </row>
    <row r="62" spans="1:4">
      <c r="A62" s="2" t="s">
        <v>5</v>
      </c>
      <c r="B62" s="2">
        <v>60</v>
      </c>
      <c r="C62" s="3">
        <v>17470</v>
      </c>
      <c r="D62" s="3">
        <f t="shared" si="1"/>
        <v>364200</v>
      </c>
    </row>
    <row r="63" spans="1:4">
      <c r="A63" s="2" t="s">
        <v>5</v>
      </c>
      <c r="B63" s="2">
        <v>61</v>
      </c>
      <c r="C63" s="3">
        <v>18290</v>
      </c>
      <c r="D63" s="3">
        <f t="shared" si="1"/>
        <v>381670</v>
      </c>
    </row>
    <row r="64" spans="1:4">
      <c r="A64" s="2" t="s">
        <v>5</v>
      </c>
      <c r="B64" s="2">
        <v>62</v>
      </c>
      <c r="C64" s="3">
        <v>19270</v>
      </c>
      <c r="D64" s="3">
        <f t="shared" si="1"/>
        <v>399960</v>
      </c>
    </row>
    <row r="65" spans="1:4">
      <c r="A65" s="2" t="s">
        <v>5</v>
      </c>
      <c r="B65" s="2">
        <v>63</v>
      </c>
      <c r="C65" s="3">
        <v>20260</v>
      </c>
      <c r="D65" s="3">
        <f t="shared" si="1"/>
        <v>419230</v>
      </c>
    </row>
    <row r="66" spans="1:4">
      <c r="A66" s="2" t="s">
        <v>5</v>
      </c>
      <c r="B66" s="2">
        <v>64</v>
      </c>
      <c r="C66" s="3">
        <v>21260</v>
      </c>
      <c r="D66" s="3">
        <f t="shared" si="1"/>
        <v>439490</v>
      </c>
    </row>
    <row r="67" spans="1:4">
      <c r="A67" s="2" t="s">
        <v>5</v>
      </c>
      <c r="B67" s="2">
        <v>65</v>
      </c>
      <c r="C67" s="3">
        <v>22290</v>
      </c>
      <c r="D67" s="3">
        <f t="shared" si="1"/>
        <v>460750</v>
      </c>
    </row>
    <row r="68" spans="1:4">
      <c r="A68" s="2" t="s">
        <v>5</v>
      </c>
      <c r="B68" s="2">
        <v>66</v>
      </c>
      <c r="C68" s="3">
        <v>23320</v>
      </c>
      <c r="D68" s="3">
        <f t="shared" ref="D68:D82" si="2">D67+C67</f>
        <v>483040</v>
      </c>
    </row>
    <row r="69" spans="1:4">
      <c r="A69" s="2" t="s">
        <v>5</v>
      </c>
      <c r="B69" s="2">
        <v>67</v>
      </c>
      <c r="C69" s="3">
        <v>24370</v>
      </c>
      <c r="D69" s="3">
        <f t="shared" si="2"/>
        <v>506360</v>
      </c>
    </row>
    <row r="70" spans="1:4">
      <c r="A70" s="2" t="s">
        <v>5</v>
      </c>
      <c r="B70" s="2">
        <v>68</v>
      </c>
      <c r="C70" s="3">
        <v>25440</v>
      </c>
      <c r="D70" s="3">
        <f t="shared" si="2"/>
        <v>530730</v>
      </c>
    </row>
    <row r="71" spans="1:4">
      <c r="A71" s="2" t="s">
        <v>5</v>
      </c>
      <c r="B71" s="2">
        <v>69</v>
      </c>
      <c r="C71" s="3">
        <v>26520</v>
      </c>
      <c r="D71" s="3">
        <f t="shared" si="2"/>
        <v>556170</v>
      </c>
    </row>
    <row r="72" spans="1:4">
      <c r="A72" s="2" t="s">
        <v>5</v>
      </c>
      <c r="B72" s="2">
        <v>70</v>
      </c>
      <c r="C72" s="3">
        <v>27620</v>
      </c>
      <c r="D72" s="3">
        <f t="shared" si="2"/>
        <v>582690</v>
      </c>
    </row>
    <row r="73" spans="1:4">
      <c r="A73" s="2" t="s">
        <v>5</v>
      </c>
      <c r="B73" s="2">
        <v>71</v>
      </c>
      <c r="C73" s="3">
        <v>30810</v>
      </c>
      <c r="D73" s="3">
        <f t="shared" si="2"/>
        <v>610310</v>
      </c>
    </row>
    <row r="74" spans="1:4">
      <c r="A74" s="2" t="s">
        <v>5</v>
      </c>
      <c r="B74" s="2">
        <v>72</v>
      </c>
      <c r="C74" s="3">
        <v>33710</v>
      </c>
      <c r="D74" s="3">
        <f t="shared" si="2"/>
        <v>641120</v>
      </c>
    </row>
    <row r="75" spans="1:4">
      <c r="A75" s="2" t="s">
        <v>5</v>
      </c>
      <c r="B75" s="2">
        <v>73</v>
      </c>
      <c r="C75" s="3">
        <v>36660</v>
      </c>
      <c r="D75" s="3">
        <f t="shared" si="2"/>
        <v>674830</v>
      </c>
    </row>
    <row r="76" spans="1:4">
      <c r="A76" s="2" t="s">
        <v>5</v>
      </c>
      <c r="B76" s="2">
        <v>74</v>
      </c>
      <c r="C76" s="3">
        <v>39650</v>
      </c>
      <c r="D76" s="3">
        <f t="shared" si="2"/>
        <v>711490</v>
      </c>
    </row>
    <row r="77" spans="1:4">
      <c r="A77" s="2" t="s">
        <v>5</v>
      </c>
      <c r="B77" s="2">
        <v>75</v>
      </c>
      <c r="C77" s="3">
        <v>42680</v>
      </c>
      <c r="D77" s="3">
        <f t="shared" si="2"/>
        <v>751140</v>
      </c>
    </row>
    <row r="78" spans="1:4">
      <c r="A78" s="2" t="s">
        <v>5</v>
      </c>
      <c r="B78" s="2">
        <v>76</v>
      </c>
      <c r="C78" s="3">
        <v>45750</v>
      </c>
      <c r="D78" s="3">
        <f t="shared" si="2"/>
        <v>793820</v>
      </c>
    </row>
    <row r="79" spans="1:4">
      <c r="A79" s="2" t="s">
        <v>5</v>
      </c>
      <c r="B79" s="2">
        <v>77</v>
      </c>
      <c r="C79" s="3">
        <v>48870</v>
      </c>
      <c r="D79" s="3">
        <f t="shared" si="2"/>
        <v>839570</v>
      </c>
    </row>
    <row r="80" spans="1:4">
      <c r="A80" s="2" t="s">
        <v>5</v>
      </c>
      <c r="B80" s="2">
        <v>78</v>
      </c>
      <c r="C80" s="3">
        <v>52030</v>
      </c>
      <c r="D80" s="3">
        <f t="shared" si="2"/>
        <v>888440</v>
      </c>
    </row>
    <row r="81" spans="1:4">
      <c r="A81" s="2" t="s">
        <v>5</v>
      </c>
      <c r="B81" s="2">
        <v>79</v>
      </c>
      <c r="C81" s="3">
        <v>55230</v>
      </c>
      <c r="D81" s="3">
        <f t="shared" si="2"/>
        <v>940470</v>
      </c>
    </row>
    <row r="82" spans="1:4">
      <c r="A82" s="2" t="s">
        <v>5</v>
      </c>
      <c r="B82" s="2">
        <v>80</v>
      </c>
      <c r="C82" s="3">
        <v>0</v>
      </c>
      <c r="D82" s="3">
        <f t="shared" si="2"/>
        <v>995700</v>
      </c>
    </row>
    <row r="83" spans="1:4">
      <c r="A83" s="8" t="s">
        <v>6</v>
      </c>
      <c r="B83" s="8">
        <v>1</v>
      </c>
      <c r="C83" s="8">
        <v>50</v>
      </c>
      <c r="D83" s="8">
        <v>0</v>
      </c>
    </row>
    <row r="84" spans="1:4">
      <c r="A84" s="8" t="s">
        <v>6</v>
      </c>
      <c r="B84" s="8">
        <v>2</v>
      </c>
      <c r="C84" s="8">
        <v>80</v>
      </c>
      <c r="D84" s="8">
        <v>50</v>
      </c>
    </row>
    <row r="85" spans="1:4">
      <c r="A85" s="8" t="s">
        <v>6</v>
      </c>
      <c r="B85" s="8">
        <v>3</v>
      </c>
      <c r="C85" s="8">
        <v>140</v>
      </c>
      <c r="D85" s="8">
        <v>130</v>
      </c>
    </row>
    <row r="86" spans="1:4">
      <c r="A86" s="8" t="s">
        <v>6</v>
      </c>
      <c r="B86" s="8">
        <v>4</v>
      </c>
      <c r="C86" s="8">
        <v>210</v>
      </c>
      <c r="D86" s="8">
        <v>270</v>
      </c>
    </row>
    <row r="87" spans="1:4">
      <c r="A87" s="8" t="s">
        <v>6</v>
      </c>
      <c r="B87" s="8">
        <v>5</v>
      </c>
      <c r="C87" s="8">
        <v>300</v>
      </c>
      <c r="D87" s="8">
        <v>480</v>
      </c>
    </row>
    <row r="88" spans="1:4">
      <c r="A88" s="8" t="s">
        <v>6</v>
      </c>
      <c r="B88" s="8">
        <v>6</v>
      </c>
      <c r="C88" s="8">
        <v>400</v>
      </c>
      <c r="D88" s="8">
        <v>780</v>
      </c>
    </row>
    <row r="89" spans="1:4">
      <c r="A89" s="8" t="s">
        <v>6</v>
      </c>
      <c r="B89" s="8">
        <v>7</v>
      </c>
      <c r="C89" s="8">
        <v>510</v>
      </c>
      <c r="D89" s="8">
        <v>1180</v>
      </c>
    </row>
    <row r="90" spans="1:4">
      <c r="A90" s="8" t="s">
        <v>6</v>
      </c>
      <c r="B90" s="8">
        <v>8</v>
      </c>
      <c r="C90" s="8">
        <v>640</v>
      </c>
      <c r="D90" s="8">
        <v>1690</v>
      </c>
    </row>
    <row r="91" spans="1:4">
      <c r="A91" s="8" t="s">
        <v>6</v>
      </c>
      <c r="B91" s="8">
        <v>9</v>
      </c>
      <c r="C91" s="8">
        <v>780</v>
      </c>
      <c r="D91" s="8">
        <v>2330</v>
      </c>
    </row>
    <row r="92" spans="1:4">
      <c r="A92" s="8" t="s">
        <v>6</v>
      </c>
      <c r="B92" s="8">
        <v>10</v>
      </c>
      <c r="C92" s="8">
        <v>930</v>
      </c>
      <c r="D92" s="8">
        <v>3110</v>
      </c>
    </row>
    <row r="93" spans="1:4">
      <c r="A93" s="8" t="s">
        <v>6</v>
      </c>
      <c r="B93" s="8">
        <v>11</v>
      </c>
      <c r="C93" s="8">
        <v>1090</v>
      </c>
      <c r="D93" s="8">
        <v>4040</v>
      </c>
    </row>
    <row r="94" spans="1:4">
      <c r="A94" s="8" t="s">
        <v>6</v>
      </c>
      <c r="B94" s="8">
        <v>12</v>
      </c>
      <c r="C94" s="8">
        <v>1260</v>
      </c>
      <c r="D94" s="8">
        <v>5130</v>
      </c>
    </row>
    <row r="95" spans="1:4">
      <c r="A95" s="8" t="s">
        <v>6</v>
      </c>
      <c r="B95" s="8">
        <v>13</v>
      </c>
      <c r="C95" s="8">
        <v>1460</v>
      </c>
      <c r="D95" s="8">
        <v>6390</v>
      </c>
    </row>
    <row r="96" spans="1:4">
      <c r="A96" s="8" t="s">
        <v>6</v>
      </c>
      <c r="B96" s="8">
        <v>14</v>
      </c>
      <c r="C96" s="8">
        <v>1650</v>
      </c>
      <c r="D96" s="8">
        <v>7850</v>
      </c>
    </row>
    <row r="97" spans="1:4">
      <c r="A97" s="8" t="s">
        <v>6</v>
      </c>
      <c r="B97" s="8">
        <v>15</v>
      </c>
      <c r="C97" s="8">
        <v>1860</v>
      </c>
      <c r="D97" s="8">
        <v>9500</v>
      </c>
    </row>
    <row r="98" spans="1:4">
      <c r="A98" s="8" t="s">
        <v>6</v>
      </c>
      <c r="B98" s="8">
        <v>16</v>
      </c>
      <c r="C98" s="8">
        <v>2080</v>
      </c>
      <c r="D98" s="8">
        <v>11360</v>
      </c>
    </row>
    <row r="99" spans="1:4">
      <c r="A99" s="8" t="s">
        <v>6</v>
      </c>
      <c r="B99" s="8">
        <v>17</v>
      </c>
      <c r="C99" s="8">
        <v>2300</v>
      </c>
      <c r="D99" s="8">
        <v>13440</v>
      </c>
    </row>
    <row r="100" spans="1:4">
      <c r="A100" s="8" t="s">
        <v>6</v>
      </c>
      <c r="B100" s="8">
        <v>18</v>
      </c>
      <c r="C100" s="8">
        <v>2540</v>
      </c>
      <c r="D100" s="8">
        <v>15740</v>
      </c>
    </row>
    <row r="101" spans="1:4">
      <c r="A101" s="8" t="s">
        <v>6</v>
      </c>
      <c r="B101" s="8">
        <v>19</v>
      </c>
      <c r="C101" s="8">
        <v>2790</v>
      </c>
      <c r="D101" s="8">
        <v>18280</v>
      </c>
    </row>
    <row r="102" spans="1:4">
      <c r="A102" s="8" t="s">
        <v>6</v>
      </c>
      <c r="B102" s="8">
        <v>20</v>
      </c>
      <c r="C102" s="8">
        <v>2900</v>
      </c>
      <c r="D102" s="8">
        <v>21070</v>
      </c>
    </row>
    <row r="103" spans="1:4">
      <c r="A103" s="8" t="s">
        <v>6</v>
      </c>
      <c r="B103" s="8">
        <v>21</v>
      </c>
      <c r="C103" s="8">
        <v>3010</v>
      </c>
      <c r="D103" s="8">
        <v>23970</v>
      </c>
    </row>
    <row r="104" spans="1:4">
      <c r="A104" s="8" t="s">
        <v>6</v>
      </c>
      <c r="B104" s="8">
        <v>22</v>
      </c>
      <c r="C104" s="8">
        <v>3130</v>
      </c>
      <c r="D104" s="8">
        <v>26980</v>
      </c>
    </row>
    <row r="105" spans="1:4">
      <c r="A105" s="8" t="s">
        <v>6</v>
      </c>
      <c r="B105" s="8">
        <v>23</v>
      </c>
      <c r="C105" s="8">
        <v>3240</v>
      </c>
      <c r="D105" s="8">
        <v>30110</v>
      </c>
    </row>
    <row r="106" spans="1:4">
      <c r="A106" s="8" t="s">
        <v>6</v>
      </c>
      <c r="B106" s="8">
        <v>24</v>
      </c>
      <c r="C106" s="8">
        <v>3360</v>
      </c>
      <c r="D106" s="8">
        <v>33350</v>
      </c>
    </row>
    <row r="107" spans="1:4">
      <c r="A107" s="8" t="s">
        <v>6</v>
      </c>
      <c r="B107" s="8">
        <v>25</v>
      </c>
      <c r="C107" s="8">
        <v>3490</v>
      </c>
      <c r="D107" s="8">
        <v>36710</v>
      </c>
    </row>
    <row r="108" spans="1:4">
      <c r="A108" s="8" t="s">
        <v>6</v>
      </c>
      <c r="B108" s="8">
        <v>26</v>
      </c>
      <c r="C108" s="8">
        <v>3610</v>
      </c>
      <c r="D108" s="8">
        <v>40200</v>
      </c>
    </row>
    <row r="109" spans="1:4">
      <c r="A109" s="8" t="s">
        <v>6</v>
      </c>
      <c r="B109" s="8">
        <v>27</v>
      </c>
      <c r="C109" s="8">
        <v>3740</v>
      </c>
      <c r="D109" s="8">
        <v>43810</v>
      </c>
    </row>
    <row r="110" spans="1:4">
      <c r="A110" s="8" t="s">
        <v>6</v>
      </c>
      <c r="B110" s="8">
        <v>28</v>
      </c>
      <c r="C110" s="8">
        <v>3860</v>
      </c>
      <c r="D110" s="8">
        <v>47550</v>
      </c>
    </row>
    <row r="111" spans="1:4">
      <c r="A111" s="8" t="s">
        <v>6</v>
      </c>
      <c r="B111" s="8">
        <v>29</v>
      </c>
      <c r="C111" s="8">
        <v>3990</v>
      </c>
      <c r="D111" s="8">
        <v>51410</v>
      </c>
    </row>
    <row r="112" spans="1:4">
      <c r="A112" s="8" t="s">
        <v>6</v>
      </c>
      <c r="B112" s="8">
        <v>30</v>
      </c>
      <c r="C112" s="8">
        <v>4130</v>
      </c>
      <c r="D112" s="8">
        <v>55400</v>
      </c>
    </row>
    <row r="113" spans="1:4">
      <c r="A113" s="8" t="s">
        <v>6</v>
      </c>
      <c r="B113" s="8">
        <v>31</v>
      </c>
      <c r="C113" s="8">
        <v>4260</v>
      </c>
      <c r="D113" s="8">
        <v>59530</v>
      </c>
    </row>
    <row r="114" spans="1:4">
      <c r="A114" s="8" t="s">
        <v>6</v>
      </c>
      <c r="B114" s="8">
        <v>32</v>
      </c>
      <c r="C114" s="8">
        <v>4400</v>
      </c>
      <c r="D114" s="8">
        <v>63790</v>
      </c>
    </row>
    <row r="115" spans="1:4">
      <c r="A115" s="8" t="s">
        <v>6</v>
      </c>
      <c r="B115" s="8">
        <v>33</v>
      </c>
      <c r="C115" s="8">
        <v>4540</v>
      </c>
      <c r="D115" s="8">
        <v>68190</v>
      </c>
    </row>
    <row r="116" spans="1:4">
      <c r="A116" s="8" t="s">
        <v>6</v>
      </c>
      <c r="B116" s="8">
        <v>34</v>
      </c>
      <c r="C116" s="8">
        <v>4680</v>
      </c>
      <c r="D116" s="8">
        <v>72730</v>
      </c>
    </row>
    <row r="117" spans="1:4">
      <c r="A117" s="8" t="s">
        <v>6</v>
      </c>
      <c r="B117" s="8">
        <v>35</v>
      </c>
      <c r="C117" s="8">
        <v>4820</v>
      </c>
      <c r="D117" s="8">
        <v>77410</v>
      </c>
    </row>
    <row r="118" spans="1:4">
      <c r="A118" s="8" t="s">
        <v>6</v>
      </c>
      <c r="B118" s="8">
        <v>36</v>
      </c>
      <c r="C118" s="8">
        <v>4970</v>
      </c>
      <c r="D118" s="8">
        <v>82230</v>
      </c>
    </row>
    <row r="119" spans="1:4">
      <c r="A119" s="8" t="s">
        <v>6</v>
      </c>
      <c r="B119" s="8">
        <v>37</v>
      </c>
      <c r="C119" s="8">
        <v>5110</v>
      </c>
      <c r="D119" s="8">
        <v>87200</v>
      </c>
    </row>
    <row r="120" spans="1:4">
      <c r="A120" s="8" t="s">
        <v>6</v>
      </c>
      <c r="B120" s="8">
        <v>38</v>
      </c>
      <c r="C120" s="8">
        <v>5260</v>
      </c>
      <c r="D120" s="8">
        <v>92310</v>
      </c>
    </row>
    <row r="121" spans="1:4">
      <c r="A121" s="8" t="s">
        <v>6</v>
      </c>
      <c r="B121" s="8">
        <v>39</v>
      </c>
      <c r="C121" s="8">
        <v>5410</v>
      </c>
      <c r="D121" s="8">
        <v>97570</v>
      </c>
    </row>
    <row r="122" spans="1:4">
      <c r="A122" s="8" t="s">
        <v>6</v>
      </c>
      <c r="B122" s="8">
        <v>40</v>
      </c>
      <c r="C122" s="8">
        <v>5560</v>
      </c>
      <c r="D122" s="8">
        <v>102980</v>
      </c>
    </row>
    <row r="123" spans="1:4">
      <c r="A123" s="8" t="s">
        <v>6</v>
      </c>
      <c r="B123" s="8">
        <v>41</v>
      </c>
      <c r="C123" s="8">
        <v>6100</v>
      </c>
      <c r="D123" s="8">
        <v>108540</v>
      </c>
    </row>
    <row r="124" spans="1:4">
      <c r="A124" s="8" t="s">
        <v>6</v>
      </c>
      <c r="B124" s="8">
        <v>42</v>
      </c>
      <c r="C124" s="8">
        <v>6450</v>
      </c>
      <c r="D124" s="8">
        <v>114640</v>
      </c>
    </row>
    <row r="125" spans="1:4">
      <c r="A125" s="8" t="s">
        <v>6</v>
      </c>
      <c r="B125" s="8">
        <v>43</v>
      </c>
      <c r="C125" s="8">
        <v>6810</v>
      </c>
      <c r="D125" s="8">
        <v>121090</v>
      </c>
    </row>
    <row r="126" spans="1:4">
      <c r="A126" s="8" t="s">
        <v>6</v>
      </c>
      <c r="B126" s="8">
        <v>44</v>
      </c>
      <c r="C126" s="8">
        <v>7180</v>
      </c>
      <c r="D126" s="8">
        <v>127900</v>
      </c>
    </row>
    <row r="127" spans="1:4">
      <c r="A127" s="8" t="s">
        <v>6</v>
      </c>
      <c r="B127" s="8">
        <v>45</v>
      </c>
      <c r="C127" s="8">
        <v>7550</v>
      </c>
      <c r="D127" s="8">
        <v>135080</v>
      </c>
    </row>
    <row r="128" spans="1:4">
      <c r="A128" s="8" t="s">
        <v>6</v>
      </c>
      <c r="B128" s="8">
        <v>46</v>
      </c>
      <c r="C128" s="8">
        <v>7930</v>
      </c>
      <c r="D128" s="8">
        <v>142630</v>
      </c>
    </row>
    <row r="129" spans="1:4">
      <c r="A129" s="8" t="s">
        <v>6</v>
      </c>
      <c r="B129" s="8">
        <v>47</v>
      </c>
      <c r="C129" s="8">
        <v>8310</v>
      </c>
      <c r="D129" s="8">
        <v>150560</v>
      </c>
    </row>
    <row r="130" spans="1:4">
      <c r="A130" s="8" t="s">
        <v>6</v>
      </c>
      <c r="B130" s="8">
        <v>48</v>
      </c>
      <c r="C130" s="8">
        <v>8710</v>
      </c>
      <c r="D130" s="8">
        <v>158870</v>
      </c>
    </row>
    <row r="131" spans="1:4">
      <c r="A131" s="8" t="s">
        <v>6</v>
      </c>
      <c r="B131" s="8">
        <v>49</v>
      </c>
      <c r="C131" s="8">
        <v>9110</v>
      </c>
      <c r="D131" s="8">
        <v>167580</v>
      </c>
    </row>
    <row r="132" spans="1:4">
      <c r="A132" s="8" t="s">
        <v>6</v>
      </c>
      <c r="B132" s="8">
        <v>50</v>
      </c>
      <c r="C132" s="8">
        <v>9520</v>
      </c>
      <c r="D132" s="8">
        <v>176690</v>
      </c>
    </row>
    <row r="133" spans="1:4">
      <c r="A133" s="8" t="s">
        <v>6</v>
      </c>
      <c r="B133" s="8">
        <v>51</v>
      </c>
      <c r="C133" s="8">
        <v>9940</v>
      </c>
      <c r="D133" s="8">
        <v>186210</v>
      </c>
    </row>
    <row r="134" spans="1:4">
      <c r="A134" s="8" t="s">
        <v>6</v>
      </c>
      <c r="B134" s="8">
        <v>52</v>
      </c>
      <c r="C134" s="8">
        <v>10350</v>
      </c>
      <c r="D134" s="8">
        <v>196150</v>
      </c>
    </row>
    <row r="135" spans="1:4">
      <c r="A135" s="8" t="s">
        <v>6</v>
      </c>
      <c r="B135" s="8">
        <v>53</v>
      </c>
      <c r="C135" s="8">
        <v>10780</v>
      </c>
      <c r="D135" s="8">
        <v>206500</v>
      </c>
    </row>
    <row r="136" spans="1:4">
      <c r="A136" s="8" t="s">
        <v>6</v>
      </c>
      <c r="B136" s="8">
        <v>54</v>
      </c>
      <c r="C136" s="8">
        <v>11220</v>
      </c>
      <c r="D136" s="8">
        <v>217280</v>
      </c>
    </row>
    <row r="137" spans="1:4">
      <c r="A137" s="8" t="s">
        <v>6</v>
      </c>
      <c r="B137" s="8">
        <v>55</v>
      </c>
      <c r="C137" s="8">
        <v>11660</v>
      </c>
      <c r="D137" s="8">
        <v>228500</v>
      </c>
    </row>
    <row r="138" spans="1:4">
      <c r="A138" s="8" t="s">
        <v>6</v>
      </c>
      <c r="B138" s="8">
        <v>56</v>
      </c>
      <c r="C138" s="8">
        <v>12110</v>
      </c>
      <c r="D138" s="8">
        <v>240160</v>
      </c>
    </row>
    <row r="139" spans="1:4">
      <c r="A139" s="8" t="s">
        <v>6</v>
      </c>
      <c r="B139" s="8">
        <v>57</v>
      </c>
      <c r="C139" s="8">
        <v>12570</v>
      </c>
      <c r="D139" s="8">
        <v>252270</v>
      </c>
    </row>
    <row r="140" spans="1:4">
      <c r="A140" s="8" t="s">
        <v>6</v>
      </c>
      <c r="B140" s="8">
        <v>58</v>
      </c>
      <c r="C140" s="8">
        <v>13030</v>
      </c>
      <c r="D140" s="8">
        <v>264840</v>
      </c>
    </row>
    <row r="141" spans="1:4">
      <c r="A141" s="8" t="s">
        <v>6</v>
      </c>
      <c r="B141" s="8">
        <v>59</v>
      </c>
      <c r="C141" s="8">
        <v>13500</v>
      </c>
      <c r="D141" s="8">
        <v>277870</v>
      </c>
    </row>
    <row r="142" spans="1:4">
      <c r="A142" s="8" t="s">
        <v>6</v>
      </c>
      <c r="B142" s="8">
        <v>60</v>
      </c>
      <c r="C142" s="8">
        <v>13980</v>
      </c>
      <c r="D142" s="8">
        <v>291370</v>
      </c>
    </row>
    <row r="143" spans="1:4">
      <c r="A143" s="8" t="s">
        <v>6</v>
      </c>
      <c r="B143" s="8">
        <v>61</v>
      </c>
      <c r="C143" s="8">
        <v>14630</v>
      </c>
      <c r="D143" s="8">
        <v>305350</v>
      </c>
    </row>
    <row r="144" spans="1:4">
      <c r="A144" s="8" t="s">
        <v>6</v>
      </c>
      <c r="B144" s="8">
        <v>62</v>
      </c>
      <c r="C144" s="8">
        <v>15420</v>
      </c>
      <c r="D144" s="8">
        <v>319980</v>
      </c>
    </row>
    <row r="145" spans="1:4">
      <c r="A145" s="8" t="s">
        <v>6</v>
      </c>
      <c r="B145" s="8">
        <v>63</v>
      </c>
      <c r="C145" s="8">
        <v>16210</v>
      </c>
      <c r="D145" s="8">
        <v>335400</v>
      </c>
    </row>
    <row r="146" spans="1:4">
      <c r="A146" s="8" t="s">
        <v>6</v>
      </c>
      <c r="B146" s="8">
        <v>64</v>
      </c>
      <c r="C146" s="8">
        <v>17010</v>
      </c>
      <c r="D146" s="8">
        <v>351610</v>
      </c>
    </row>
    <row r="147" spans="1:4">
      <c r="A147" s="8" t="s">
        <v>6</v>
      </c>
      <c r="B147" s="8">
        <v>65</v>
      </c>
      <c r="C147" s="8">
        <v>17830</v>
      </c>
      <c r="D147" s="8">
        <v>368620</v>
      </c>
    </row>
    <row r="148" spans="1:4">
      <c r="A148" s="8" t="s">
        <v>6</v>
      </c>
      <c r="B148" s="8">
        <v>66</v>
      </c>
      <c r="C148" s="8">
        <v>18660</v>
      </c>
      <c r="D148" s="8">
        <v>386450</v>
      </c>
    </row>
    <row r="149" spans="1:4">
      <c r="A149" s="8" t="s">
        <v>6</v>
      </c>
      <c r="B149" s="8">
        <v>67</v>
      </c>
      <c r="C149" s="8">
        <v>19500</v>
      </c>
      <c r="D149" s="8">
        <v>405110</v>
      </c>
    </row>
    <row r="150" spans="1:4">
      <c r="A150" s="8" t="s">
        <v>6</v>
      </c>
      <c r="B150" s="8">
        <v>68</v>
      </c>
      <c r="C150" s="8">
        <v>20350</v>
      </c>
      <c r="D150" s="8">
        <v>424610</v>
      </c>
    </row>
    <row r="151" spans="1:4">
      <c r="A151" s="8" t="s">
        <v>6</v>
      </c>
      <c r="B151" s="8">
        <v>69</v>
      </c>
      <c r="C151" s="8">
        <v>21220</v>
      </c>
      <c r="D151" s="8">
        <v>444960</v>
      </c>
    </row>
    <row r="152" spans="1:4">
      <c r="A152" s="8" t="s">
        <v>6</v>
      </c>
      <c r="B152" s="8">
        <v>70</v>
      </c>
      <c r="C152" s="8">
        <v>22100</v>
      </c>
      <c r="D152" s="8">
        <v>466180</v>
      </c>
    </row>
    <row r="153" spans="1:4">
      <c r="A153" s="8" t="s">
        <v>6</v>
      </c>
      <c r="B153" s="8">
        <v>71</v>
      </c>
      <c r="C153" s="8">
        <v>24650</v>
      </c>
      <c r="D153" s="8">
        <v>488280</v>
      </c>
    </row>
    <row r="154" spans="1:4">
      <c r="A154" s="8" t="s">
        <v>6</v>
      </c>
      <c r="B154" s="8">
        <v>72</v>
      </c>
      <c r="C154" s="8">
        <v>26970</v>
      </c>
      <c r="D154" s="8">
        <v>512930</v>
      </c>
    </row>
    <row r="155" spans="1:4">
      <c r="A155" s="8" t="s">
        <v>6</v>
      </c>
      <c r="B155" s="8">
        <v>73</v>
      </c>
      <c r="C155" s="8">
        <v>29330</v>
      </c>
      <c r="D155" s="8">
        <v>539900</v>
      </c>
    </row>
    <row r="156" spans="1:4">
      <c r="A156" s="8" t="s">
        <v>6</v>
      </c>
      <c r="B156" s="8">
        <v>74</v>
      </c>
      <c r="C156" s="8">
        <v>31720</v>
      </c>
      <c r="D156" s="8">
        <v>569230</v>
      </c>
    </row>
    <row r="157" spans="1:4">
      <c r="A157" s="8" t="s">
        <v>6</v>
      </c>
      <c r="B157" s="8">
        <v>75</v>
      </c>
      <c r="C157" s="8">
        <v>34140</v>
      </c>
      <c r="D157" s="8">
        <v>600950</v>
      </c>
    </row>
    <row r="158" spans="1:4">
      <c r="A158" s="8" t="s">
        <v>6</v>
      </c>
      <c r="B158" s="8">
        <v>76</v>
      </c>
      <c r="C158" s="8">
        <v>36600</v>
      </c>
      <c r="D158" s="8">
        <v>635090</v>
      </c>
    </row>
    <row r="159" spans="1:4">
      <c r="A159" s="8" t="s">
        <v>6</v>
      </c>
      <c r="B159" s="8">
        <v>77</v>
      </c>
      <c r="C159" s="8">
        <v>39100</v>
      </c>
      <c r="D159" s="8">
        <v>671690</v>
      </c>
    </row>
    <row r="160" spans="1:4">
      <c r="A160" s="8" t="s">
        <v>6</v>
      </c>
      <c r="B160" s="8">
        <v>78</v>
      </c>
      <c r="C160" s="8">
        <v>41620</v>
      </c>
      <c r="D160" s="8">
        <v>710790</v>
      </c>
    </row>
    <row r="161" spans="1:4">
      <c r="A161" s="8" t="s">
        <v>6</v>
      </c>
      <c r="B161" s="8">
        <v>79</v>
      </c>
      <c r="C161" s="8">
        <v>44180</v>
      </c>
      <c r="D161" s="8">
        <v>752410</v>
      </c>
    </row>
    <row r="162" spans="1:4">
      <c r="A162" s="8" t="s">
        <v>6</v>
      </c>
      <c r="B162" s="8">
        <v>80</v>
      </c>
      <c r="C162" s="8">
        <v>0</v>
      </c>
      <c r="D162" s="8">
        <v>796590</v>
      </c>
    </row>
    <row r="163" spans="1:4">
      <c r="A163" s="8" t="s">
        <v>7</v>
      </c>
      <c r="B163" s="8">
        <v>1</v>
      </c>
      <c r="C163" s="8">
        <v>40</v>
      </c>
      <c r="D163" s="8">
        <v>0</v>
      </c>
    </row>
    <row r="164" spans="1:4">
      <c r="A164" s="8" t="s">
        <v>7</v>
      </c>
      <c r="B164" s="8">
        <v>2</v>
      </c>
      <c r="C164" s="8">
        <v>60</v>
      </c>
      <c r="D164" s="8">
        <v>40</v>
      </c>
    </row>
    <row r="165" spans="1:4">
      <c r="A165" s="8" t="s">
        <v>7</v>
      </c>
      <c r="B165" s="8">
        <v>3</v>
      </c>
      <c r="C165" s="8">
        <v>100</v>
      </c>
      <c r="D165" s="8">
        <v>100</v>
      </c>
    </row>
    <row r="166" spans="1:4">
      <c r="A166" s="8" t="s">
        <v>7</v>
      </c>
      <c r="B166" s="8">
        <v>4</v>
      </c>
      <c r="C166" s="8">
        <v>160</v>
      </c>
      <c r="D166" s="8">
        <v>200</v>
      </c>
    </row>
    <row r="167" spans="1:4">
      <c r="A167" s="8" t="s">
        <v>7</v>
      </c>
      <c r="B167" s="8">
        <v>5</v>
      </c>
      <c r="C167" s="8">
        <v>220</v>
      </c>
      <c r="D167" s="8">
        <v>360</v>
      </c>
    </row>
    <row r="168" spans="1:4">
      <c r="A168" s="8" t="s">
        <v>7</v>
      </c>
      <c r="B168" s="8">
        <v>6</v>
      </c>
      <c r="C168" s="8">
        <v>300</v>
      </c>
      <c r="D168" s="8">
        <v>580</v>
      </c>
    </row>
    <row r="169" spans="1:4">
      <c r="A169" s="8" t="s">
        <v>7</v>
      </c>
      <c r="B169" s="8">
        <v>7</v>
      </c>
      <c r="C169" s="8">
        <v>380</v>
      </c>
      <c r="D169" s="8">
        <v>880</v>
      </c>
    </row>
    <row r="170" spans="1:4">
      <c r="A170" s="8" t="s">
        <v>7</v>
      </c>
      <c r="B170" s="8">
        <v>8</v>
      </c>
      <c r="C170" s="8">
        <v>480</v>
      </c>
      <c r="D170" s="8">
        <v>1260</v>
      </c>
    </row>
    <row r="171" spans="1:4">
      <c r="A171" s="8" t="s">
        <v>7</v>
      </c>
      <c r="B171" s="8">
        <v>9</v>
      </c>
      <c r="C171" s="8">
        <v>580</v>
      </c>
      <c r="D171" s="8">
        <v>1740</v>
      </c>
    </row>
    <row r="172" spans="1:4">
      <c r="A172" s="8" t="s">
        <v>7</v>
      </c>
      <c r="B172" s="8">
        <v>10</v>
      </c>
      <c r="C172" s="8">
        <v>700</v>
      </c>
      <c r="D172" s="8">
        <v>2320</v>
      </c>
    </row>
    <row r="173" spans="1:4">
      <c r="A173" s="8" t="s">
        <v>7</v>
      </c>
      <c r="B173" s="8">
        <v>11</v>
      </c>
      <c r="C173" s="8">
        <v>820</v>
      </c>
      <c r="D173" s="8">
        <v>3020</v>
      </c>
    </row>
    <row r="174" spans="1:4">
      <c r="A174" s="8" t="s">
        <v>7</v>
      </c>
      <c r="B174" s="8">
        <v>12</v>
      </c>
      <c r="C174" s="8">
        <v>950</v>
      </c>
      <c r="D174" s="8">
        <v>3840</v>
      </c>
    </row>
    <row r="175" spans="1:4">
      <c r="A175" s="8" t="s">
        <v>7</v>
      </c>
      <c r="B175" s="8">
        <v>13</v>
      </c>
      <c r="C175" s="8">
        <v>1090</v>
      </c>
      <c r="D175" s="8">
        <v>4790</v>
      </c>
    </row>
    <row r="176" spans="1:4">
      <c r="A176" s="8" t="s">
        <v>7</v>
      </c>
      <c r="B176" s="8">
        <v>14</v>
      </c>
      <c r="C176" s="8">
        <v>1240</v>
      </c>
      <c r="D176" s="8">
        <v>5880</v>
      </c>
    </row>
    <row r="177" spans="1:4">
      <c r="A177" s="8" t="s">
        <v>7</v>
      </c>
      <c r="B177" s="8">
        <v>15</v>
      </c>
      <c r="C177" s="8">
        <v>1390</v>
      </c>
      <c r="D177" s="8">
        <v>7120</v>
      </c>
    </row>
    <row r="178" spans="1:4">
      <c r="A178" s="8" t="s">
        <v>7</v>
      </c>
      <c r="B178" s="8">
        <v>16</v>
      </c>
      <c r="C178" s="8">
        <v>1560</v>
      </c>
      <c r="D178" s="8">
        <v>8510</v>
      </c>
    </row>
    <row r="179" spans="1:4">
      <c r="A179" s="8" t="s">
        <v>7</v>
      </c>
      <c r="B179" s="8">
        <v>17</v>
      </c>
      <c r="C179" s="8">
        <v>1730</v>
      </c>
      <c r="D179" s="8">
        <v>10070</v>
      </c>
    </row>
    <row r="180" spans="1:4">
      <c r="A180" s="8" t="s">
        <v>7</v>
      </c>
      <c r="B180" s="8">
        <v>18</v>
      </c>
      <c r="C180" s="8">
        <v>1910</v>
      </c>
      <c r="D180" s="8">
        <v>11800</v>
      </c>
    </row>
    <row r="181" spans="1:4">
      <c r="A181" s="8" t="s">
        <v>7</v>
      </c>
      <c r="B181" s="8">
        <v>19</v>
      </c>
      <c r="C181" s="8">
        <v>2090</v>
      </c>
      <c r="D181" s="8">
        <v>13710</v>
      </c>
    </row>
    <row r="182" spans="1:4">
      <c r="A182" s="8" t="s">
        <v>7</v>
      </c>
      <c r="B182" s="8">
        <v>20</v>
      </c>
      <c r="C182" s="8">
        <v>2170</v>
      </c>
      <c r="D182" s="8">
        <v>15800</v>
      </c>
    </row>
    <row r="183" spans="1:4">
      <c r="A183" s="8" t="s">
        <v>7</v>
      </c>
      <c r="B183" s="8">
        <v>21</v>
      </c>
      <c r="C183" s="8">
        <v>2260</v>
      </c>
      <c r="D183" s="8">
        <v>17970</v>
      </c>
    </row>
    <row r="184" spans="1:4">
      <c r="A184" s="8" t="s">
        <v>7</v>
      </c>
      <c r="B184" s="8">
        <v>22</v>
      </c>
      <c r="C184" s="8">
        <v>2350</v>
      </c>
      <c r="D184" s="8">
        <v>20230</v>
      </c>
    </row>
    <row r="185" spans="1:4">
      <c r="A185" s="8" t="s">
        <v>7</v>
      </c>
      <c r="B185" s="8">
        <v>23</v>
      </c>
      <c r="C185" s="8">
        <v>2430</v>
      </c>
      <c r="D185" s="8">
        <v>22580</v>
      </c>
    </row>
    <row r="186" spans="1:4">
      <c r="A186" s="8" t="s">
        <v>7</v>
      </c>
      <c r="B186" s="8">
        <v>24</v>
      </c>
      <c r="C186" s="8">
        <v>2520</v>
      </c>
      <c r="D186" s="8">
        <v>25010</v>
      </c>
    </row>
    <row r="187" spans="1:4">
      <c r="A187" s="8" t="s">
        <v>7</v>
      </c>
      <c r="B187" s="8">
        <v>25</v>
      </c>
      <c r="C187" s="8">
        <v>2620</v>
      </c>
      <c r="D187" s="8">
        <v>27530</v>
      </c>
    </row>
    <row r="188" spans="1:4">
      <c r="A188" s="8" t="s">
        <v>7</v>
      </c>
      <c r="B188" s="8">
        <v>26</v>
      </c>
      <c r="C188" s="8">
        <v>2710</v>
      </c>
      <c r="D188" s="8">
        <v>30150</v>
      </c>
    </row>
    <row r="189" spans="1:4">
      <c r="A189" s="8" t="s">
        <v>7</v>
      </c>
      <c r="B189" s="8">
        <v>27</v>
      </c>
      <c r="C189" s="8">
        <v>2800</v>
      </c>
      <c r="D189" s="8">
        <v>32860</v>
      </c>
    </row>
    <row r="190" spans="1:4">
      <c r="A190" s="8" t="s">
        <v>7</v>
      </c>
      <c r="B190" s="8">
        <v>28</v>
      </c>
      <c r="C190" s="8">
        <v>2900</v>
      </c>
      <c r="D190" s="8">
        <v>35660</v>
      </c>
    </row>
    <row r="191" spans="1:4">
      <c r="A191" s="8" t="s">
        <v>7</v>
      </c>
      <c r="B191" s="8">
        <v>29</v>
      </c>
      <c r="C191" s="8">
        <v>2990</v>
      </c>
      <c r="D191" s="8">
        <v>38560</v>
      </c>
    </row>
    <row r="192" spans="1:4">
      <c r="A192" s="8" t="s">
        <v>7</v>
      </c>
      <c r="B192" s="8">
        <v>30</v>
      </c>
      <c r="C192" s="8">
        <v>3100</v>
      </c>
      <c r="D192" s="8">
        <v>41550</v>
      </c>
    </row>
    <row r="193" spans="1:4">
      <c r="A193" s="8" t="s">
        <v>7</v>
      </c>
      <c r="B193" s="8">
        <v>31</v>
      </c>
      <c r="C193" s="8">
        <v>3200</v>
      </c>
      <c r="D193" s="8">
        <v>44650</v>
      </c>
    </row>
    <row r="194" spans="1:4">
      <c r="A194" s="8" t="s">
        <v>7</v>
      </c>
      <c r="B194" s="8">
        <v>32</v>
      </c>
      <c r="C194" s="8">
        <v>3300</v>
      </c>
      <c r="D194" s="8">
        <v>47850</v>
      </c>
    </row>
    <row r="195" spans="1:4">
      <c r="A195" s="8" t="s">
        <v>7</v>
      </c>
      <c r="B195" s="8">
        <v>33</v>
      </c>
      <c r="C195" s="8">
        <v>3400</v>
      </c>
      <c r="D195" s="8">
        <v>51150</v>
      </c>
    </row>
    <row r="196" spans="1:4">
      <c r="A196" s="8" t="s">
        <v>7</v>
      </c>
      <c r="B196" s="8">
        <v>34</v>
      </c>
      <c r="C196" s="8">
        <v>3510</v>
      </c>
      <c r="D196" s="8">
        <v>54550</v>
      </c>
    </row>
    <row r="197" spans="1:4">
      <c r="A197" s="8" t="s">
        <v>7</v>
      </c>
      <c r="B197" s="8">
        <v>35</v>
      </c>
      <c r="C197" s="8">
        <v>3620</v>
      </c>
      <c r="D197" s="8">
        <v>58060</v>
      </c>
    </row>
    <row r="198" spans="1:4">
      <c r="A198" s="8" t="s">
        <v>7</v>
      </c>
      <c r="B198" s="8">
        <v>36</v>
      </c>
      <c r="C198" s="8">
        <v>3730</v>
      </c>
      <c r="D198" s="8">
        <v>61680</v>
      </c>
    </row>
    <row r="199" spans="1:4">
      <c r="A199" s="8" t="s">
        <v>7</v>
      </c>
      <c r="B199" s="8">
        <v>37</v>
      </c>
      <c r="C199" s="8">
        <v>3830</v>
      </c>
      <c r="D199" s="8">
        <v>65410</v>
      </c>
    </row>
    <row r="200" spans="1:4">
      <c r="A200" s="8" t="s">
        <v>7</v>
      </c>
      <c r="B200" s="8">
        <v>38</v>
      </c>
      <c r="C200" s="8">
        <v>3950</v>
      </c>
      <c r="D200" s="8">
        <v>69240</v>
      </c>
    </row>
    <row r="201" spans="1:4">
      <c r="A201" s="8" t="s">
        <v>7</v>
      </c>
      <c r="B201" s="8">
        <v>39</v>
      </c>
      <c r="C201" s="8">
        <v>4060</v>
      </c>
      <c r="D201" s="8">
        <v>73190</v>
      </c>
    </row>
    <row r="202" spans="1:4">
      <c r="A202" s="8" t="s">
        <v>7</v>
      </c>
      <c r="B202" s="8">
        <v>40</v>
      </c>
      <c r="C202" s="8">
        <v>4170</v>
      </c>
      <c r="D202" s="8">
        <v>77250</v>
      </c>
    </row>
    <row r="203" spans="1:4">
      <c r="A203" s="8" t="s">
        <v>7</v>
      </c>
      <c r="B203" s="8">
        <v>41</v>
      </c>
      <c r="C203" s="8">
        <v>4580</v>
      </c>
      <c r="D203" s="8">
        <v>81420</v>
      </c>
    </row>
    <row r="204" spans="1:4">
      <c r="A204" s="8" t="s">
        <v>7</v>
      </c>
      <c r="B204" s="8">
        <v>42</v>
      </c>
      <c r="C204" s="8">
        <v>4840</v>
      </c>
      <c r="D204" s="8">
        <v>86000</v>
      </c>
    </row>
    <row r="205" spans="1:4">
      <c r="A205" s="8" t="s">
        <v>7</v>
      </c>
      <c r="B205" s="8">
        <v>43</v>
      </c>
      <c r="C205" s="8">
        <v>5110</v>
      </c>
      <c r="D205" s="8">
        <v>90840</v>
      </c>
    </row>
    <row r="206" spans="1:4">
      <c r="A206" s="8" t="s">
        <v>7</v>
      </c>
      <c r="B206" s="8">
        <v>44</v>
      </c>
      <c r="C206" s="8">
        <v>5380</v>
      </c>
      <c r="D206" s="8">
        <v>95950</v>
      </c>
    </row>
    <row r="207" spans="1:4">
      <c r="A207" s="8" t="s">
        <v>7</v>
      </c>
      <c r="B207" s="8">
        <v>45</v>
      </c>
      <c r="C207" s="8">
        <v>5660</v>
      </c>
      <c r="D207" s="8">
        <v>101330</v>
      </c>
    </row>
    <row r="208" spans="1:4">
      <c r="A208" s="8" t="s">
        <v>7</v>
      </c>
      <c r="B208" s="8">
        <v>46</v>
      </c>
      <c r="C208" s="8">
        <v>5950</v>
      </c>
      <c r="D208" s="8">
        <v>106990</v>
      </c>
    </row>
    <row r="209" spans="1:4">
      <c r="A209" s="8" t="s">
        <v>7</v>
      </c>
      <c r="B209" s="8">
        <v>47</v>
      </c>
      <c r="C209" s="8">
        <v>6230</v>
      </c>
      <c r="D209" s="8">
        <v>112940</v>
      </c>
    </row>
    <row r="210" spans="1:4">
      <c r="A210" s="8" t="s">
        <v>7</v>
      </c>
      <c r="B210" s="8">
        <v>48</v>
      </c>
      <c r="C210" s="8">
        <v>6530</v>
      </c>
      <c r="D210" s="8">
        <v>119170</v>
      </c>
    </row>
    <row r="211" spans="1:4">
      <c r="A211" s="8" t="s">
        <v>7</v>
      </c>
      <c r="B211" s="8">
        <v>49</v>
      </c>
      <c r="C211" s="8">
        <v>6830</v>
      </c>
      <c r="D211" s="8">
        <v>125700</v>
      </c>
    </row>
    <row r="212" spans="1:4">
      <c r="A212" s="8" t="s">
        <v>7</v>
      </c>
      <c r="B212" s="8">
        <v>50</v>
      </c>
      <c r="C212" s="8">
        <v>7140</v>
      </c>
      <c r="D212" s="8">
        <v>132530</v>
      </c>
    </row>
    <row r="213" spans="1:4">
      <c r="A213" s="8" t="s">
        <v>7</v>
      </c>
      <c r="B213" s="8">
        <v>51</v>
      </c>
      <c r="C213" s="8">
        <v>7450</v>
      </c>
      <c r="D213" s="8">
        <v>139670</v>
      </c>
    </row>
    <row r="214" spans="1:4">
      <c r="A214" s="8" t="s">
        <v>7</v>
      </c>
      <c r="B214" s="8">
        <v>52</v>
      </c>
      <c r="C214" s="8">
        <v>7760</v>
      </c>
      <c r="D214" s="8">
        <v>147120</v>
      </c>
    </row>
    <row r="215" spans="1:4">
      <c r="A215" s="8" t="s">
        <v>7</v>
      </c>
      <c r="B215" s="8">
        <v>53</v>
      </c>
      <c r="C215" s="8">
        <v>8090</v>
      </c>
      <c r="D215" s="8">
        <v>154880</v>
      </c>
    </row>
    <row r="216" spans="1:4">
      <c r="A216" s="8" t="s">
        <v>7</v>
      </c>
      <c r="B216" s="8">
        <v>54</v>
      </c>
      <c r="C216" s="8">
        <v>8410</v>
      </c>
      <c r="D216" s="8">
        <v>162970</v>
      </c>
    </row>
    <row r="217" spans="1:4">
      <c r="A217" s="8" t="s">
        <v>7</v>
      </c>
      <c r="B217" s="8">
        <v>55</v>
      </c>
      <c r="C217" s="8">
        <v>8750</v>
      </c>
      <c r="D217" s="8">
        <v>171380</v>
      </c>
    </row>
    <row r="218" spans="1:4">
      <c r="A218" s="8" t="s">
        <v>7</v>
      </c>
      <c r="B218" s="8">
        <v>56</v>
      </c>
      <c r="C218" s="8">
        <v>9080</v>
      </c>
      <c r="D218" s="8">
        <v>180130</v>
      </c>
    </row>
    <row r="219" spans="1:4">
      <c r="A219" s="8" t="s">
        <v>7</v>
      </c>
      <c r="B219" s="8">
        <v>57</v>
      </c>
      <c r="C219" s="8">
        <v>9430</v>
      </c>
      <c r="D219" s="8">
        <v>189210</v>
      </c>
    </row>
    <row r="220" spans="1:4">
      <c r="A220" s="8" t="s">
        <v>7</v>
      </c>
      <c r="B220" s="8">
        <v>58</v>
      </c>
      <c r="C220" s="8">
        <v>9770</v>
      </c>
      <c r="D220" s="8">
        <v>198640</v>
      </c>
    </row>
    <row r="221" spans="1:4">
      <c r="A221" s="8" t="s">
        <v>7</v>
      </c>
      <c r="B221" s="8">
        <v>59</v>
      </c>
      <c r="C221" s="8">
        <v>10130</v>
      </c>
      <c r="D221" s="8">
        <v>208410</v>
      </c>
    </row>
    <row r="222" spans="1:4">
      <c r="A222" s="8" t="s">
        <v>7</v>
      </c>
      <c r="B222" s="8">
        <v>60</v>
      </c>
      <c r="C222" s="8">
        <v>10480</v>
      </c>
      <c r="D222" s="8">
        <v>218540</v>
      </c>
    </row>
    <row r="223" spans="1:4">
      <c r="A223" s="8" t="s">
        <v>7</v>
      </c>
      <c r="B223" s="8">
        <v>61</v>
      </c>
      <c r="C223" s="8">
        <v>10970</v>
      </c>
      <c r="D223" s="8">
        <v>229020</v>
      </c>
    </row>
    <row r="224" spans="1:4">
      <c r="A224" s="8" t="s">
        <v>7</v>
      </c>
      <c r="B224" s="8">
        <v>62</v>
      </c>
      <c r="C224" s="8">
        <v>11560</v>
      </c>
      <c r="D224" s="8">
        <v>239990</v>
      </c>
    </row>
    <row r="225" spans="1:4">
      <c r="A225" s="8" t="s">
        <v>7</v>
      </c>
      <c r="B225" s="8">
        <v>63</v>
      </c>
      <c r="C225" s="8">
        <v>12160</v>
      </c>
      <c r="D225" s="8">
        <v>251550</v>
      </c>
    </row>
    <row r="226" spans="1:4">
      <c r="A226" s="8" t="s">
        <v>7</v>
      </c>
      <c r="B226" s="8">
        <v>64</v>
      </c>
      <c r="C226" s="8">
        <v>12760</v>
      </c>
      <c r="D226" s="8">
        <v>263710</v>
      </c>
    </row>
    <row r="227" spans="1:4">
      <c r="A227" s="8" t="s">
        <v>7</v>
      </c>
      <c r="B227" s="8">
        <v>65</v>
      </c>
      <c r="C227" s="8">
        <v>13370</v>
      </c>
      <c r="D227" s="8">
        <v>276470</v>
      </c>
    </row>
    <row r="228" spans="1:4">
      <c r="A228" s="8" t="s">
        <v>7</v>
      </c>
      <c r="B228" s="8">
        <v>66</v>
      </c>
      <c r="C228" s="8">
        <v>13990</v>
      </c>
      <c r="D228" s="8">
        <v>289840</v>
      </c>
    </row>
    <row r="229" spans="1:4">
      <c r="A229" s="8" t="s">
        <v>7</v>
      </c>
      <c r="B229" s="8">
        <v>67</v>
      </c>
      <c r="C229" s="8">
        <v>14620</v>
      </c>
      <c r="D229" s="8">
        <v>303830</v>
      </c>
    </row>
    <row r="230" spans="1:4">
      <c r="A230" s="8" t="s">
        <v>7</v>
      </c>
      <c r="B230" s="8">
        <v>68</v>
      </c>
      <c r="C230" s="8">
        <v>15260</v>
      </c>
      <c r="D230" s="8">
        <v>318450</v>
      </c>
    </row>
    <row r="231" spans="1:4">
      <c r="A231" s="8" t="s">
        <v>7</v>
      </c>
      <c r="B231" s="8">
        <v>69</v>
      </c>
      <c r="C231" s="8">
        <v>15910</v>
      </c>
      <c r="D231" s="8">
        <v>333710</v>
      </c>
    </row>
    <row r="232" spans="1:4">
      <c r="A232" s="8" t="s">
        <v>7</v>
      </c>
      <c r="B232" s="8">
        <v>70</v>
      </c>
      <c r="C232" s="8">
        <v>16570</v>
      </c>
      <c r="D232" s="8">
        <v>349620</v>
      </c>
    </row>
    <row r="233" spans="1:4">
      <c r="A233" s="8" t="s">
        <v>7</v>
      </c>
      <c r="B233" s="8">
        <v>71</v>
      </c>
      <c r="C233" s="8">
        <v>18490</v>
      </c>
      <c r="D233" s="8">
        <v>366190</v>
      </c>
    </row>
    <row r="234" spans="1:4">
      <c r="A234" s="8" t="s">
        <v>7</v>
      </c>
      <c r="B234" s="8">
        <v>72</v>
      </c>
      <c r="C234" s="8">
        <v>20230</v>
      </c>
      <c r="D234" s="8">
        <v>384680</v>
      </c>
    </row>
    <row r="235" spans="1:4">
      <c r="A235" s="8" t="s">
        <v>7</v>
      </c>
      <c r="B235" s="8">
        <v>73</v>
      </c>
      <c r="C235" s="8">
        <v>22000</v>
      </c>
      <c r="D235" s="8">
        <v>404910</v>
      </c>
    </row>
    <row r="236" spans="1:4">
      <c r="A236" s="8" t="s">
        <v>7</v>
      </c>
      <c r="B236" s="8">
        <v>74</v>
      </c>
      <c r="C236" s="8">
        <v>23790</v>
      </c>
      <c r="D236" s="8">
        <v>426910</v>
      </c>
    </row>
    <row r="237" spans="1:4">
      <c r="A237" s="8" t="s">
        <v>7</v>
      </c>
      <c r="B237" s="8">
        <v>75</v>
      </c>
      <c r="C237" s="8">
        <v>25610</v>
      </c>
      <c r="D237" s="8">
        <v>450700</v>
      </c>
    </row>
    <row r="238" spans="1:4">
      <c r="A238" s="8" t="s">
        <v>7</v>
      </c>
      <c r="B238" s="8">
        <v>76</v>
      </c>
      <c r="C238" s="8">
        <v>27450</v>
      </c>
      <c r="D238" s="8">
        <v>476310</v>
      </c>
    </row>
    <row r="239" spans="1:4">
      <c r="A239" s="8" t="s">
        <v>7</v>
      </c>
      <c r="B239" s="8">
        <v>77</v>
      </c>
      <c r="C239" s="8">
        <v>29320</v>
      </c>
      <c r="D239" s="8">
        <v>503760</v>
      </c>
    </row>
    <row r="240" spans="1:4">
      <c r="A240" s="8" t="s">
        <v>7</v>
      </c>
      <c r="B240" s="8">
        <v>78</v>
      </c>
      <c r="C240" s="8">
        <v>31220</v>
      </c>
      <c r="D240" s="8">
        <v>533080</v>
      </c>
    </row>
    <row r="241" spans="1:4">
      <c r="A241" s="8" t="s">
        <v>7</v>
      </c>
      <c r="B241" s="8">
        <v>79</v>
      </c>
      <c r="C241" s="8">
        <v>33140</v>
      </c>
      <c r="D241" s="8">
        <v>564300</v>
      </c>
    </row>
    <row r="242" spans="1:4">
      <c r="A242" s="8" t="s">
        <v>7</v>
      </c>
      <c r="B242" s="8">
        <v>80</v>
      </c>
      <c r="C242" s="8"/>
      <c r="D242" s="8">
        <v>597440</v>
      </c>
    </row>
  </sheetData>
  <mergeCells count="1">
    <mergeCell ref="A1:D1"/>
  </mergeCells>
  <phoneticPr fontId="6"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5"/>
  <sheetViews>
    <sheetView showGridLines="0" workbookViewId="0"/>
  </sheetViews>
  <sheetFormatPr defaultRowHeight="14.25"/>
  <cols>
    <col min="1" max="1" width="14" customWidth="1"/>
    <col min="2" max="2" width="26" customWidth="1"/>
    <col min="3" max="3" width="64" customWidth="1"/>
    <col min="4" max="4" width="18" customWidth="1"/>
    <col min="5" max="5" width="22" customWidth="1"/>
    <col min="6" max="6" width="48" customWidth="1"/>
  </cols>
  <sheetData>
    <row r="1" spans="1:6" ht="30" customHeight="1">
      <c r="A1" s="18" t="s">
        <v>8</v>
      </c>
      <c r="B1" s="18"/>
      <c r="C1" s="18"/>
      <c r="D1" s="18"/>
      <c r="E1" s="18"/>
      <c r="F1" s="18"/>
    </row>
    <row r="2" spans="1:6" ht="36" customHeight="1">
      <c r="A2" s="1" t="s">
        <v>9</v>
      </c>
      <c r="B2" s="1" t="s">
        <v>10</v>
      </c>
      <c r="C2" s="1" t="s">
        <v>11</v>
      </c>
      <c r="D2" s="1" t="s">
        <v>12</v>
      </c>
      <c r="E2" s="1" t="s">
        <v>13</v>
      </c>
      <c r="F2" s="1" t="s">
        <v>14</v>
      </c>
    </row>
    <row r="3" spans="1:6">
      <c r="A3" s="2" t="s">
        <v>15</v>
      </c>
      <c r="B3" s="2" t="s">
        <v>16</v>
      </c>
      <c r="C3" s="2" t="s">
        <v>17</v>
      </c>
      <c r="D3" s="3">
        <v>500</v>
      </c>
      <c r="E3" s="3">
        <v>250</v>
      </c>
      <c r="F3" s="2" t="s">
        <v>18</v>
      </c>
    </row>
    <row r="4" spans="1:6">
      <c r="A4" s="2" t="s">
        <v>19</v>
      </c>
      <c r="B4" s="2" t="s">
        <v>20</v>
      </c>
      <c r="C4" s="2" t="s">
        <v>21</v>
      </c>
      <c r="D4" s="3">
        <v>2000</v>
      </c>
      <c r="E4" s="3">
        <v>1000</v>
      </c>
      <c r="F4" s="2" t="s">
        <v>22</v>
      </c>
    </row>
    <row r="5" spans="1:6">
      <c r="A5" s="2" t="s">
        <v>23</v>
      </c>
      <c r="B5" s="2" t="s">
        <v>24</v>
      </c>
      <c r="C5" s="2" t="s">
        <v>25</v>
      </c>
      <c r="D5" s="3">
        <v>6000</v>
      </c>
      <c r="E5" s="3">
        <v>3000</v>
      </c>
      <c r="F5" s="2" t="s">
        <v>26</v>
      </c>
    </row>
  </sheetData>
  <mergeCells count="1">
    <mergeCell ref="A1:F1"/>
  </mergeCells>
  <phoneticPr fontId="6"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12"/>
  <sheetViews>
    <sheetView showGridLines="0" workbookViewId="0"/>
  </sheetViews>
  <sheetFormatPr defaultRowHeight="14.25"/>
  <cols>
    <col min="1" max="1" width="14" customWidth="1"/>
    <col min="2" max="2" width="40.625" customWidth="1"/>
    <col min="3" max="3" width="137.375" customWidth="1"/>
  </cols>
  <sheetData>
    <row r="1" spans="1:3" ht="30" customHeight="1">
      <c r="A1" s="18" t="s">
        <v>27</v>
      </c>
      <c r="B1" s="18"/>
      <c r="C1" s="18"/>
    </row>
    <row r="2" spans="1:3" ht="36" customHeight="1">
      <c r="A2" s="1" t="s">
        <v>28</v>
      </c>
      <c r="B2" s="1" t="s">
        <v>29</v>
      </c>
      <c r="C2" s="1" t="s">
        <v>30</v>
      </c>
    </row>
    <row r="3" spans="1:3">
      <c r="A3" s="5" t="s">
        <v>31</v>
      </c>
      <c r="B3" s="6" t="s">
        <v>32</v>
      </c>
      <c r="C3" s="4" t="s">
        <v>33</v>
      </c>
    </row>
    <row r="4" spans="1:3">
      <c r="A4" s="5" t="s">
        <v>34</v>
      </c>
      <c r="B4" s="6" t="s">
        <v>35</v>
      </c>
      <c r="C4" s="4" t="s">
        <v>36</v>
      </c>
    </row>
    <row r="5" spans="1:3">
      <c r="A5" s="5" t="s">
        <v>37</v>
      </c>
      <c r="B5" s="6" t="s">
        <v>38</v>
      </c>
      <c r="C5" s="4" t="s">
        <v>39</v>
      </c>
    </row>
    <row r="6" spans="1:3">
      <c r="A6" s="5" t="s">
        <v>40</v>
      </c>
      <c r="B6" s="6" t="s">
        <v>41</v>
      </c>
      <c r="C6" s="4" t="s">
        <v>42</v>
      </c>
    </row>
    <row r="7" spans="1:3">
      <c r="A7" s="5" t="s">
        <v>43</v>
      </c>
      <c r="B7" s="6" t="s">
        <v>44</v>
      </c>
      <c r="C7" s="4" t="s">
        <v>45</v>
      </c>
    </row>
    <row r="8" spans="1:3">
      <c r="A8" s="5" t="s">
        <v>46</v>
      </c>
      <c r="B8" s="6" t="s">
        <v>47</v>
      </c>
      <c r="C8" s="4" t="s">
        <v>48</v>
      </c>
    </row>
    <row r="9" spans="1:3">
      <c r="A9" s="5" t="s">
        <v>49</v>
      </c>
      <c r="B9" s="6" t="s">
        <v>50</v>
      </c>
      <c r="C9" s="4" t="s">
        <v>51</v>
      </c>
    </row>
    <row r="10" spans="1:3">
      <c r="A10" s="5" t="s">
        <v>52</v>
      </c>
      <c r="B10" s="6" t="s">
        <v>53</v>
      </c>
      <c r="C10" s="4" t="s">
        <v>54</v>
      </c>
    </row>
    <row r="11" spans="1:3">
      <c r="A11" s="5" t="s">
        <v>55</v>
      </c>
      <c r="B11" s="6" t="s">
        <v>56</v>
      </c>
      <c r="C11" s="4" t="s">
        <v>57</v>
      </c>
    </row>
    <row r="12" spans="1:3">
      <c r="A12" s="5" t="s">
        <v>58</v>
      </c>
      <c r="B12" s="6" t="s">
        <v>59</v>
      </c>
      <c r="C12" s="4" t="s">
        <v>60</v>
      </c>
    </row>
  </sheetData>
  <mergeCells count="1">
    <mergeCell ref="A1:C1"/>
  </mergeCells>
  <phoneticPr fontId="6"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12"/>
  <sheetViews>
    <sheetView showGridLines="0" workbookViewId="0"/>
  </sheetViews>
  <sheetFormatPr defaultRowHeight="14.25"/>
  <cols>
    <col min="1" max="4" width="24" customWidth="1"/>
    <col min="5" max="7" width="20" customWidth="1"/>
  </cols>
  <sheetData>
    <row r="1" spans="1:7" ht="30" customHeight="1">
      <c r="A1" s="18" t="s">
        <v>61</v>
      </c>
      <c r="B1" s="18"/>
      <c r="C1" s="18"/>
      <c r="D1" s="18"/>
      <c r="E1" s="18"/>
      <c r="F1" s="18"/>
      <c r="G1" s="18"/>
    </row>
    <row r="2" spans="1:7" ht="36" customHeight="1">
      <c r="A2" s="1" t="s">
        <v>62</v>
      </c>
      <c r="B2" s="1" t="s">
        <v>63</v>
      </c>
      <c r="C2" s="1" t="s">
        <v>64</v>
      </c>
      <c r="D2" s="1" t="s">
        <v>65</v>
      </c>
      <c r="E2" s="1" t="s">
        <v>66</v>
      </c>
      <c r="F2" s="1" t="s">
        <v>67</v>
      </c>
      <c r="G2" s="1" t="s">
        <v>68</v>
      </c>
    </row>
    <row r="3" spans="1:7">
      <c r="A3" s="2" t="s">
        <v>32</v>
      </c>
      <c r="B3" s="2">
        <v>62</v>
      </c>
      <c r="C3" s="2">
        <v>21</v>
      </c>
      <c r="D3" s="2">
        <v>18</v>
      </c>
      <c r="E3" s="7">
        <v>9.36</v>
      </c>
      <c r="F3" s="7">
        <v>3.24</v>
      </c>
      <c r="G3" s="7">
        <v>2.7</v>
      </c>
    </row>
    <row r="4" spans="1:7">
      <c r="A4" s="2" t="s">
        <v>35</v>
      </c>
      <c r="B4" s="2">
        <v>43</v>
      </c>
      <c r="C4" s="2">
        <v>28</v>
      </c>
      <c r="D4" s="2">
        <v>21</v>
      </c>
      <c r="E4" s="7">
        <v>6.48</v>
      </c>
      <c r="F4" s="7">
        <v>4.32</v>
      </c>
      <c r="G4" s="7">
        <v>3.15</v>
      </c>
    </row>
    <row r="5" spans="1:7">
      <c r="A5" s="2" t="s">
        <v>38</v>
      </c>
      <c r="B5" s="2">
        <v>38</v>
      </c>
      <c r="C5" s="2">
        <v>28</v>
      </c>
      <c r="D5" s="2">
        <v>24</v>
      </c>
      <c r="E5" s="7">
        <v>5.76</v>
      </c>
      <c r="F5" s="7">
        <v>4.32</v>
      </c>
      <c r="G5" s="7">
        <v>3.6</v>
      </c>
    </row>
    <row r="6" spans="1:7">
      <c r="A6" s="2" t="s">
        <v>41</v>
      </c>
      <c r="B6" s="2">
        <v>52</v>
      </c>
      <c r="C6" s="2">
        <v>21</v>
      </c>
      <c r="D6" s="2">
        <v>24</v>
      </c>
      <c r="E6" s="7">
        <v>7.92</v>
      </c>
      <c r="F6" s="7">
        <v>3.24</v>
      </c>
      <c r="G6" s="7">
        <v>3.6</v>
      </c>
    </row>
    <row r="7" spans="1:7">
      <c r="A7" s="2" t="s">
        <v>44</v>
      </c>
      <c r="B7" s="2">
        <v>52</v>
      </c>
      <c r="C7" s="2">
        <v>24</v>
      </c>
      <c r="D7" s="2">
        <v>21</v>
      </c>
      <c r="E7" s="7">
        <v>7.92</v>
      </c>
      <c r="F7" s="7">
        <v>3.6</v>
      </c>
      <c r="G7" s="7">
        <v>3.15</v>
      </c>
    </row>
    <row r="8" spans="1:7">
      <c r="A8" s="2" t="s">
        <v>47</v>
      </c>
      <c r="B8" s="2">
        <v>48</v>
      </c>
      <c r="C8" s="2">
        <v>26</v>
      </c>
      <c r="D8" s="2">
        <v>21</v>
      </c>
      <c r="E8" s="7">
        <v>7.2</v>
      </c>
      <c r="F8" s="7">
        <v>3.96</v>
      </c>
      <c r="G8" s="7">
        <v>3.15</v>
      </c>
    </row>
    <row r="9" spans="1:7">
      <c r="A9" s="2" t="s">
        <v>50</v>
      </c>
      <c r="B9" s="2">
        <v>48</v>
      </c>
      <c r="C9" s="2">
        <v>24</v>
      </c>
      <c r="D9" s="2">
        <v>24</v>
      </c>
      <c r="E9" s="7">
        <v>7.2</v>
      </c>
      <c r="F9" s="7">
        <v>3.6</v>
      </c>
      <c r="G9" s="7">
        <v>3.6</v>
      </c>
    </row>
    <row r="10" spans="1:7">
      <c r="A10" s="2" t="s">
        <v>53</v>
      </c>
      <c r="B10" s="2">
        <v>57</v>
      </c>
      <c r="C10" s="2">
        <v>21</v>
      </c>
      <c r="D10" s="2">
        <v>21</v>
      </c>
      <c r="E10" s="7">
        <v>8.64</v>
      </c>
      <c r="F10" s="7">
        <v>3.24</v>
      </c>
      <c r="G10" s="7">
        <v>3.15</v>
      </c>
    </row>
    <row r="11" spans="1:7">
      <c r="A11" s="2" t="s">
        <v>56</v>
      </c>
      <c r="B11" s="2">
        <v>43</v>
      </c>
      <c r="C11" s="2">
        <v>28</v>
      </c>
      <c r="D11" s="2">
        <v>21</v>
      </c>
      <c r="E11" s="7">
        <v>6.48</v>
      </c>
      <c r="F11" s="7">
        <v>4.32</v>
      </c>
      <c r="G11" s="7">
        <v>3.15</v>
      </c>
    </row>
    <row r="12" spans="1:7">
      <c r="A12" s="2" t="s">
        <v>59</v>
      </c>
      <c r="B12" s="2">
        <v>52</v>
      </c>
      <c r="C12" s="2">
        <v>21</v>
      </c>
      <c r="D12" s="2">
        <v>24</v>
      </c>
      <c r="E12" s="7">
        <v>7.92</v>
      </c>
      <c r="F12" s="7">
        <v>3.24</v>
      </c>
      <c r="G12" s="7">
        <v>3.6</v>
      </c>
    </row>
  </sheetData>
  <mergeCells count="1">
    <mergeCell ref="A1:G1"/>
  </mergeCells>
  <phoneticPr fontId="6"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72"/>
  <sheetViews>
    <sheetView showGridLines="0" workbookViewId="0"/>
  </sheetViews>
  <sheetFormatPr defaultRowHeight="14.25"/>
  <cols>
    <col min="1" max="1" width="22" customWidth="1"/>
    <col min="2" max="3" width="14" customWidth="1"/>
    <col min="4" max="4" width="18" customWidth="1"/>
    <col min="5" max="5" width="21.25" customWidth="1"/>
    <col min="6" max="6" width="21" customWidth="1"/>
    <col min="7" max="7" width="20" customWidth="1"/>
    <col min="8" max="9" width="22" customWidth="1"/>
  </cols>
  <sheetData>
    <row r="1" spans="1:9" ht="30" customHeight="1">
      <c r="A1" s="18" t="s">
        <v>69</v>
      </c>
      <c r="B1" s="18"/>
      <c r="C1" s="18"/>
      <c r="D1" s="18"/>
      <c r="E1" s="18"/>
      <c r="F1" s="18"/>
      <c r="G1" s="18"/>
      <c r="H1" s="18"/>
      <c r="I1" s="18"/>
    </row>
    <row r="2" spans="1:9" ht="36" customHeight="1">
      <c r="A2" s="1" t="s">
        <v>70</v>
      </c>
      <c r="B2" s="1" t="s">
        <v>71</v>
      </c>
      <c r="C2" s="1" t="s">
        <v>72</v>
      </c>
      <c r="D2" s="1" t="s">
        <v>73</v>
      </c>
      <c r="E2" s="1" t="s">
        <v>74</v>
      </c>
      <c r="F2" s="1" t="s">
        <v>75</v>
      </c>
      <c r="G2" s="1" t="s">
        <v>76</v>
      </c>
      <c r="H2" s="1" t="s">
        <v>77</v>
      </c>
      <c r="I2" s="1" t="s">
        <v>78</v>
      </c>
    </row>
    <row r="3" spans="1:9">
      <c r="A3" s="2" t="s">
        <v>79</v>
      </c>
      <c r="B3" s="2" t="str">
        <f>LEFT(A3, 2) &amp; "_" &amp; _xlfn.TEXTBEFORE(_xlfn.TEXTAFTER(A3, "_"), "_")</f>
        <v>LC_1001</v>
      </c>
      <c r="C3" s="2">
        <v>0</v>
      </c>
      <c r="D3" s="2">
        <v>20</v>
      </c>
      <c r="E3" s="2">
        <v>15</v>
      </c>
      <c r="F3" s="2"/>
      <c r="G3" s="2">
        <v>74.88</v>
      </c>
      <c r="H3" s="2">
        <v>25.92</v>
      </c>
      <c r="I3" s="2">
        <v>21.600000000000009</v>
      </c>
    </row>
    <row r="4" spans="1:9">
      <c r="A4" s="2" t="s">
        <v>80</v>
      </c>
      <c r="B4" s="2" t="str">
        <f t="shared" ref="B4:B67" si="0">LEFT(A4, 2) &amp; "_" &amp; _xlfn.TEXTBEFORE(_xlfn.TEXTAFTER(A4, "_"), "_")</f>
        <v>LC_1001</v>
      </c>
      <c r="C4" s="2">
        <v>1</v>
      </c>
      <c r="D4" s="2">
        <v>30</v>
      </c>
      <c r="E4" s="2"/>
      <c r="F4" s="2">
        <v>1</v>
      </c>
      <c r="G4" s="2">
        <v>99.839999999999975</v>
      </c>
      <c r="H4" s="2">
        <v>34.56</v>
      </c>
      <c r="I4" s="2">
        <v>28.799999999999983</v>
      </c>
    </row>
    <row r="5" spans="1:9">
      <c r="A5" s="2" t="s">
        <v>81</v>
      </c>
      <c r="B5" s="2" t="str">
        <f t="shared" si="0"/>
        <v>LC_1001</v>
      </c>
      <c r="C5" s="2">
        <v>2</v>
      </c>
      <c r="D5" s="2">
        <v>40</v>
      </c>
      <c r="E5" s="2"/>
      <c r="F5" s="2">
        <v>2</v>
      </c>
      <c r="G5" s="2">
        <v>99.840000000000032</v>
      </c>
      <c r="H5" s="2">
        <v>34.56</v>
      </c>
      <c r="I5" s="2">
        <v>28.800000000000011</v>
      </c>
    </row>
    <row r="6" spans="1:9">
      <c r="A6" s="2" t="s">
        <v>82</v>
      </c>
      <c r="B6" s="2" t="str">
        <f t="shared" si="0"/>
        <v>LC_1001</v>
      </c>
      <c r="C6" s="2">
        <v>3</v>
      </c>
      <c r="D6" s="2">
        <v>50</v>
      </c>
      <c r="E6" s="2"/>
      <c r="F6" s="2">
        <v>3</v>
      </c>
      <c r="G6" s="2">
        <v>99.840000000000032</v>
      </c>
      <c r="H6" s="2">
        <v>34.56</v>
      </c>
      <c r="I6" s="2">
        <v>28.800000000000011</v>
      </c>
    </row>
    <row r="7" spans="1:9">
      <c r="A7" s="2" t="s">
        <v>83</v>
      </c>
      <c r="B7" s="2" t="str">
        <f t="shared" si="0"/>
        <v>LC_1001</v>
      </c>
      <c r="C7" s="2">
        <v>4</v>
      </c>
      <c r="D7" s="2">
        <v>60</v>
      </c>
      <c r="E7" s="2"/>
      <c r="F7" s="2">
        <v>4</v>
      </c>
      <c r="G7" s="2">
        <v>99.840000000000146</v>
      </c>
      <c r="H7" s="2">
        <v>34.56</v>
      </c>
      <c r="I7" s="2">
        <v>28.800000000000011</v>
      </c>
    </row>
    <row r="8" spans="1:9">
      <c r="A8" s="2" t="s">
        <v>84</v>
      </c>
      <c r="B8" s="2" t="str">
        <f t="shared" si="0"/>
        <v>LC_1001</v>
      </c>
      <c r="C8" s="2">
        <v>5</v>
      </c>
      <c r="D8" s="2">
        <v>70</v>
      </c>
      <c r="E8" s="2"/>
      <c r="F8" s="2">
        <v>5</v>
      </c>
      <c r="G8" s="2">
        <v>99.839999999999918</v>
      </c>
      <c r="H8" s="2">
        <v>34.56</v>
      </c>
      <c r="I8" s="2">
        <v>28.799999999999955</v>
      </c>
    </row>
    <row r="9" spans="1:9">
      <c r="A9" s="2" t="s">
        <v>85</v>
      </c>
      <c r="B9" s="2" t="str">
        <f t="shared" si="0"/>
        <v>LC_1001</v>
      </c>
      <c r="C9" s="2">
        <v>6</v>
      </c>
      <c r="D9" s="2">
        <v>80</v>
      </c>
      <c r="E9" s="2"/>
      <c r="F9" s="2">
        <v>5</v>
      </c>
      <c r="G9" s="2"/>
      <c r="H9" s="2"/>
      <c r="I9" s="2"/>
    </row>
    <row r="10" spans="1:9">
      <c r="A10" s="2" t="s">
        <v>86</v>
      </c>
      <c r="B10" s="2" t="str">
        <f t="shared" si="0"/>
        <v>LC_1002</v>
      </c>
      <c r="C10" s="2">
        <v>0</v>
      </c>
      <c r="D10" s="2">
        <v>20</v>
      </c>
      <c r="E10" s="2">
        <v>15</v>
      </c>
      <c r="F10" s="2"/>
      <c r="G10" s="2">
        <v>51.84</v>
      </c>
      <c r="H10" s="2">
        <v>34.56</v>
      </c>
      <c r="I10" s="2">
        <v>25.200000000000003</v>
      </c>
    </row>
    <row r="11" spans="1:9">
      <c r="A11" s="2" t="s">
        <v>87</v>
      </c>
      <c r="B11" s="2" t="str">
        <f t="shared" si="0"/>
        <v>LC_1002</v>
      </c>
      <c r="C11" s="2">
        <v>1</v>
      </c>
      <c r="D11" s="2">
        <v>30</v>
      </c>
      <c r="E11" s="2"/>
      <c r="F11" s="2">
        <v>1</v>
      </c>
      <c r="G11" s="2">
        <v>69.12</v>
      </c>
      <c r="H11" s="2">
        <v>46.080000000000013</v>
      </c>
      <c r="I11" s="2">
        <v>33.599999999999994</v>
      </c>
    </row>
    <row r="12" spans="1:9">
      <c r="A12" s="2" t="s">
        <v>88</v>
      </c>
      <c r="B12" s="2" t="str">
        <f t="shared" si="0"/>
        <v>LC_1002</v>
      </c>
      <c r="C12" s="2">
        <v>2</v>
      </c>
      <c r="D12" s="2">
        <v>40</v>
      </c>
      <c r="E12" s="2"/>
      <c r="F12" s="2">
        <v>2</v>
      </c>
      <c r="G12" s="2">
        <v>69.12</v>
      </c>
      <c r="H12" s="2">
        <v>46.079999999999984</v>
      </c>
      <c r="I12" s="2">
        <v>33.599999999999994</v>
      </c>
    </row>
    <row r="13" spans="1:9">
      <c r="A13" s="2" t="s">
        <v>89</v>
      </c>
      <c r="B13" s="2" t="str">
        <f t="shared" si="0"/>
        <v>LC_1002</v>
      </c>
      <c r="C13" s="2">
        <v>3</v>
      </c>
      <c r="D13" s="2">
        <v>50</v>
      </c>
      <c r="E13" s="2"/>
      <c r="F13" s="2">
        <v>3</v>
      </c>
      <c r="G13" s="2">
        <v>69.12</v>
      </c>
      <c r="H13" s="2">
        <v>46.079999999999984</v>
      </c>
      <c r="I13" s="2">
        <v>33.600000000000023</v>
      </c>
    </row>
    <row r="14" spans="1:9">
      <c r="A14" s="2" t="s">
        <v>90</v>
      </c>
      <c r="B14" s="2" t="str">
        <f t="shared" si="0"/>
        <v>LC_1002</v>
      </c>
      <c r="C14" s="2">
        <v>4</v>
      </c>
      <c r="D14" s="2">
        <v>60</v>
      </c>
      <c r="E14" s="2"/>
      <c r="F14" s="2">
        <v>4</v>
      </c>
      <c r="G14" s="2">
        <v>69.12</v>
      </c>
      <c r="H14" s="2">
        <v>46.079999999999984</v>
      </c>
      <c r="I14" s="2">
        <v>33.599999999999966</v>
      </c>
    </row>
    <row r="15" spans="1:9">
      <c r="A15" s="2" t="s">
        <v>91</v>
      </c>
      <c r="B15" s="2" t="str">
        <f t="shared" si="0"/>
        <v>LC_1002</v>
      </c>
      <c r="C15" s="2">
        <v>5</v>
      </c>
      <c r="D15" s="2">
        <v>70</v>
      </c>
      <c r="E15" s="2"/>
      <c r="F15" s="2">
        <v>5</v>
      </c>
      <c r="G15" s="2">
        <v>69.12</v>
      </c>
      <c r="H15" s="2">
        <v>46.080000000000041</v>
      </c>
      <c r="I15" s="2">
        <v>33.600000000000023</v>
      </c>
    </row>
    <row r="16" spans="1:9">
      <c r="A16" s="2" t="s">
        <v>92</v>
      </c>
      <c r="B16" s="2" t="str">
        <f t="shared" si="0"/>
        <v>LC_1002</v>
      </c>
      <c r="C16" s="2">
        <v>6</v>
      </c>
      <c r="D16" s="2">
        <v>80</v>
      </c>
      <c r="E16" s="2"/>
      <c r="F16" s="2">
        <v>5</v>
      </c>
      <c r="G16" s="2"/>
      <c r="H16" s="2"/>
      <c r="I16" s="2"/>
    </row>
    <row r="17" spans="1:9">
      <c r="A17" s="2" t="s">
        <v>93</v>
      </c>
      <c r="B17" s="2" t="str">
        <f t="shared" si="0"/>
        <v>LC_1003</v>
      </c>
      <c r="C17" s="2">
        <v>0</v>
      </c>
      <c r="D17" s="2">
        <v>20</v>
      </c>
      <c r="E17" s="2">
        <v>15</v>
      </c>
      <c r="F17" s="2"/>
      <c r="G17" s="2">
        <v>46.079999999999984</v>
      </c>
      <c r="H17" s="2">
        <v>34.56</v>
      </c>
      <c r="I17" s="2">
        <v>28.799999999999997</v>
      </c>
    </row>
    <row r="18" spans="1:9">
      <c r="A18" s="2" t="s">
        <v>94</v>
      </c>
      <c r="B18" s="2" t="str">
        <f t="shared" si="0"/>
        <v>LC_1003</v>
      </c>
      <c r="C18" s="2">
        <v>1</v>
      </c>
      <c r="D18" s="2">
        <v>30</v>
      </c>
      <c r="E18" s="2"/>
      <c r="F18" s="2">
        <v>1</v>
      </c>
      <c r="G18" s="2">
        <v>61.439999999999969</v>
      </c>
      <c r="H18" s="2">
        <v>46.080000000000013</v>
      </c>
      <c r="I18" s="2">
        <v>38.400000000000006</v>
      </c>
    </row>
    <row r="19" spans="1:9">
      <c r="A19" s="2" t="s">
        <v>95</v>
      </c>
      <c r="B19" s="2" t="str">
        <f t="shared" si="0"/>
        <v>LC_1003</v>
      </c>
      <c r="C19" s="2">
        <v>2</v>
      </c>
      <c r="D19" s="2">
        <v>40</v>
      </c>
      <c r="E19" s="2"/>
      <c r="F19" s="2">
        <v>2</v>
      </c>
      <c r="G19" s="2">
        <v>61.44</v>
      </c>
      <c r="H19" s="2">
        <v>46.079999999999984</v>
      </c>
      <c r="I19" s="2">
        <v>38.400000000000006</v>
      </c>
    </row>
    <row r="20" spans="1:9">
      <c r="A20" s="2" t="s">
        <v>96</v>
      </c>
      <c r="B20" s="2" t="str">
        <f t="shared" si="0"/>
        <v>LC_1003</v>
      </c>
      <c r="C20" s="2">
        <v>3</v>
      </c>
      <c r="D20" s="2">
        <v>50</v>
      </c>
      <c r="E20" s="2"/>
      <c r="F20" s="2">
        <v>3</v>
      </c>
      <c r="G20" s="2">
        <v>61.439999999999941</v>
      </c>
      <c r="H20" s="2">
        <v>46.079999999999984</v>
      </c>
      <c r="I20" s="2">
        <v>38.399999999999977</v>
      </c>
    </row>
    <row r="21" spans="1:9">
      <c r="A21" s="2" t="s">
        <v>97</v>
      </c>
      <c r="B21" s="2" t="str">
        <f t="shared" si="0"/>
        <v>LC_1003</v>
      </c>
      <c r="C21" s="2">
        <v>4</v>
      </c>
      <c r="D21" s="2">
        <v>60</v>
      </c>
      <c r="E21" s="2"/>
      <c r="F21" s="2">
        <v>4</v>
      </c>
      <c r="G21" s="2">
        <v>61.440000000000055</v>
      </c>
      <c r="H21" s="2">
        <v>46.079999999999984</v>
      </c>
      <c r="I21" s="2">
        <v>38.400000000000034</v>
      </c>
    </row>
    <row r="22" spans="1:9">
      <c r="A22" s="2" t="s">
        <v>98</v>
      </c>
      <c r="B22" s="2" t="str">
        <f t="shared" si="0"/>
        <v>LC_1003</v>
      </c>
      <c r="C22" s="2">
        <v>5</v>
      </c>
      <c r="D22" s="2">
        <v>70</v>
      </c>
      <c r="E22" s="2"/>
      <c r="F22" s="2">
        <v>5</v>
      </c>
      <c r="G22" s="2">
        <v>61.440000000000055</v>
      </c>
      <c r="H22" s="2">
        <v>46.080000000000041</v>
      </c>
      <c r="I22" s="2">
        <v>38.399999999999977</v>
      </c>
    </row>
    <row r="23" spans="1:9">
      <c r="A23" s="2" t="s">
        <v>99</v>
      </c>
      <c r="B23" s="2" t="str">
        <f t="shared" si="0"/>
        <v>LC_1003</v>
      </c>
      <c r="C23" s="2">
        <v>6</v>
      </c>
      <c r="D23" s="2">
        <v>80</v>
      </c>
      <c r="E23" s="2"/>
      <c r="F23" s="2">
        <v>5</v>
      </c>
      <c r="G23" s="2"/>
      <c r="H23" s="2"/>
      <c r="I23" s="2"/>
    </row>
    <row r="24" spans="1:9">
      <c r="A24" s="2" t="s">
        <v>100</v>
      </c>
      <c r="B24" s="2" t="str">
        <f t="shared" si="0"/>
        <v>LC_1004</v>
      </c>
      <c r="C24" s="2">
        <v>0</v>
      </c>
      <c r="D24" s="2">
        <v>20</v>
      </c>
      <c r="E24" s="2">
        <v>15</v>
      </c>
      <c r="F24" s="2"/>
      <c r="G24" s="2">
        <v>63.359999999999985</v>
      </c>
      <c r="H24" s="2">
        <v>25.92</v>
      </c>
      <c r="I24" s="2">
        <v>28.799999999999997</v>
      </c>
    </row>
    <row r="25" spans="1:9">
      <c r="A25" s="2" t="s">
        <v>101</v>
      </c>
      <c r="B25" s="2" t="str">
        <f t="shared" si="0"/>
        <v>LC_1004</v>
      </c>
      <c r="C25" s="2">
        <v>1</v>
      </c>
      <c r="D25" s="2">
        <v>30</v>
      </c>
      <c r="E25" s="2"/>
      <c r="F25" s="2">
        <v>1</v>
      </c>
      <c r="G25" s="2">
        <v>84.480000000000018</v>
      </c>
      <c r="H25" s="2">
        <v>34.56</v>
      </c>
      <c r="I25" s="2">
        <v>38.400000000000006</v>
      </c>
    </row>
    <row r="26" spans="1:9">
      <c r="A26" s="2" t="s">
        <v>102</v>
      </c>
      <c r="B26" s="2" t="str">
        <f t="shared" si="0"/>
        <v>LC_1004</v>
      </c>
      <c r="C26" s="2">
        <v>2</v>
      </c>
      <c r="D26" s="2">
        <v>40</v>
      </c>
      <c r="E26" s="2"/>
      <c r="F26" s="2">
        <v>2</v>
      </c>
      <c r="G26" s="2">
        <v>84.480000000000018</v>
      </c>
      <c r="H26" s="2">
        <v>34.56</v>
      </c>
      <c r="I26" s="2">
        <v>38.400000000000006</v>
      </c>
    </row>
    <row r="27" spans="1:9">
      <c r="A27" s="2" t="s">
        <v>103</v>
      </c>
      <c r="B27" s="2" t="str">
        <f t="shared" si="0"/>
        <v>LC_1004</v>
      </c>
      <c r="C27" s="2">
        <v>3</v>
      </c>
      <c r="D27" s="2">
        <v>50</v>
      </c>
      <c r="E27" s="2"/>
      <c r="F27" s="2">
        <v>3</v>
      </c>
      <c r="G27" s="2">
        <v>84.479999999999905</v>
      </c>
      <c r="H27" s="2">
        <v>34.56</v>
      </c>
      <c r="I27" s="2">
        <v>38.399999999999977</v>
      </c>
    </row>
    <row r="28" spans="1:9">
      <c r="A28" s="2" t="s">
        <v>104</v>
      </c>
      <c r="B28" s="2" t="str">
        <f t="shared" si="0"/>
        <v>LC_1004</v>
      </c>
      <c r="C28" s="2">
        <v>4</v>
      </c>
      <c r="D28" s="2">
        <v>60</v>
      </c>
      <c r="E28" s="2"/>
      <c r="F28" s="2">
        <v>4</v>
      </c>
      <c r="G28" s="2">
        <v>84.480000000000018</v>
      </c>
      <c r="H28" s="2">
        <v>34.56</v>
      </c>
      <c r="I28" s="2">
        <v>38.400000000000034</v>
      </c>
    </row>
    <row r="29" spans="1:9">
      <c r="A29" s="2" t="s">
        <v>105</v>
      </c>
      <c r="B29" s="2" t="str">
        <f t="shared" si="0"/>
        <v>LC_1004</v>
      </c>
      <c r="C29" s="2">
        <v>5</v>
      </c>
      <c r="D29" s="2">
        <v>70</v>
      </c>
      <c r="E29" s="2"/>
      <c r="F29" s="2">
        <v>5</v>
      </c>
      <c r="G29" s="2">
        <v>84.480000000000018</v>
      </c>
      <c r="H29" s="2">
        <v>34.56</v>
      </c>
      <c r="I29" s="2">
        <v>38.399999999999977</v>
      </c>
    </row>
    <row r="30" spans="1:9">
      <c r="A30" s="2" t="s">
        <v>106</v>
      </c>
      <c r="B30" s="2" t="str">
        <f t="shared" si="0"/>
        <v>LC_1004</v>
      </c>
      <c r="C30" s="2">
        <v>6</v>
      </c>
      <c r="D30" s="2">
        <v>80</v>
      </c>
      <c r="E30" s="2"/>
      <c r="F30" s="2">
        <v>5</v>
      </c>
      <c r="G30" s="2"/>
      <c r="H30" s="2"/>
      <c r="I30" s="2"/>
    </row>
    <row r="31" spans="1:9">
      <c r="A31" s="2" t="s">
        <v>107</v>
      </c>
      <c r="B31" s="2" t="str">
        <f t="shared" si="0"/>
        <v>LC_1005</v>
      </c>
      <c r="C31" s="2">
        <v>0</v>
      </c>
      <c r="D31" s="2">
        <v>20</v>
      </c>
      <c r="E31" s="2">
        <v>15</v>
      </c>
      <c r="F31" s="2"/>
      <c r="G31" s="2">
        <v>63.359999999999985</v>
      </c>
      <c r="H31" s="2">
        <v>28.799999999999997</v>
      </c>
      <c r="I31" s="2">
        <v>25.200000000000003</v>
      </c>
    </row>
    <row r="32" spans="1:9">
      <c r="A32" s="2" t="s">
        <v>108</v>
      </c>
      <c r="B32" s="2" t="str">
        <f t="shared" si="0"/>
        <v>LC_1005</v>
      </c>
      <c r="C32" s="2">
        <v>1</v>
      </c>
      <c r="D32" s="2">
        <v>30</v>
      </c>
      <c r="E32" s="2"/>
      <c r="F32" s="2">
        <v>1</v>
      </c>
      <c r="G32" s="2">
        <v>84.480000000000018</v>
      </c>
      <c r="H32" s="2">
        <v>38.400000000000006</v>
      </c>
      <c r="I32" s="2">
        <v>33.599999999999994</v>
      </c>
    </row>
    <row r="33" spans="1:9">
      <c r="A33" s="2" t="s">
        <v>109</v>
      </c>
      <c r="B33" s="2" t="str">
        <f t="shared" si="0"/>
        <v>LC_1005</v>
      </c>
      <c r="C33" s="2">
        <v>2</v>
      </c>
      <c r="D33" s="2">
        <v>40</v>
      </c>
      <c r="E33" s="2"/>
      <c r="F33" s="2">
        <v>2</v>
      </c>
      <c r="G33" s="2">
        <v>84.480000000000018</v>
      </c>
      <c r="H33" s="2">
        <v>38.400000000000006</v>
      </c>
      <c r="I33" s="2">
        <v>33.599999999999994</v>
      </c>
    </row>
    <row r="34" spans="1:9">
      <c r="A34" s="2" t="s">
        <v>110</v>
      </c>
      <c r="B34" s="2" t="str">
        <f t="shared" si="0"/>
        <v>LC_1005</v>
      </c>
      <c r="C34" s="2">
        <v>3</v>
      </c>
      <c r="D34" s="2">
        <v>50</v>
      </c>
      <c r="E34" s="2"/>
      <c r="F34" s="2">
        <v>3</v>
      </c>
      <c r="G34" s="2">
        <v>84.479999999999905</v>
      </c>
      <c r="H34" s="2">
        <v>38.399999999999977</v>
      </c>
      <c r="I34" s="2">
        <v>33.600000000000023</v>
      </c>
    </row>
    <row r="35" spans="1:9">
      <c r="A35" s="2" t="s">
        <v>111</v>
      </c>
      <c r="B35" s="2" t="str">
        <f t="shared" si="0"/>
        <v>LC_1005</v>
      </c>
      <c r="C35" s="2">
        <v>4</v>
      </c>
      <c r="D35" s="2">
        <v>60</v>
      </c>
      <c r="E35" s="2"/>
      <c r="F35" s="2">
        <v>4</v>
      </c>
      <c r="G35" s="2">
        <v>84.480000000000018</v>
      </c>
      <c r="H35" s="2">
        <v>38.400000000000034</v>
      </c>
      <c r="I35" s="2">
        <v>33.599999999999966</v>
      </c>
    </row>
    <row r="36" spans="1:9">
      <c r="A36" s="2" t="s">
        <v>112</v>
      </c>
      <c r="B36" s="2" t="str">
        <f t="shared" si="0"/>
        <v>LC_1005</v>
      </c>
      <c r="C36" s="2">
        <v>5</v>
      </c>
      <c r="D36" s="2">
        <v>70</v>
      </c>
      <c r="E36" s="2"/>
      <c r="F36" s="2">
        <v>5</v>
      </c>
      <c r="G36" s="2">
        <v>84.480000000000018</v>
      </c>
      <c r="H36" s="2">
        <v>38.399999999999977</v>
      </c>
      <c r="I36" s="2">
        <v>33.600000000000023</v>
      </c>
    </row>
    <row r="37" spans="1:9">
      <c r="A37" s="2" t="s">
        <v>113</v>
      </c>
      <c r="B37" s="2" t="str">
        <f t="shared" si="0"/>
        <v>LC_1005</v>
      </c>
      <c r="C37" s="2">
        <v>6</v>
      </c>
      <c r="D37" s="2">
        <v>80</v>
      </c>
      <c r="E37" s="2"/>
      <c r="F37" s="2">
        <v>5</v>
      </c>
      <c r="G37" s="2"/>
      <c r="H37" s="2"/>
      <c r="I37" s="2"/>
    </row>
    <row r="38" spans="1:9">
      <c r="A38" s="2" t="s">
        <v>114</v>
      </c>
      <c r="B38" s="2" t="str">
        <f t="shared" si="0"/>
        <v>LC_1006</v>
      </c>
      <c r="C38" s="2">
        <v>0</v>
      </c>
      <c r="D38" s="2">
        <v>20</v>
      </c>
      <c r="E38" s="2">
        <v>15</v>
      </c>
      <c r="F38" s="2"/>
      <c r="G38" s="2">
        <v>57.599999999999994</v>
      </c>
      <c r="H38" s="2">
        <v>31.679999999999993</v>
      </c>
      <c r="I38" s="2">
        <v>25.200000000000003</v>
      </c>
    </row>
    <row r="39" spans="1:9">
      <c r="A39" s="2" t="s">
        <v>115</v>
      </c>
      <c r="B39" s="2" t="str">
        <f t="shared" si="0"/>
        <v>LC_1006</v>
      </c>
      <c r="C39" s="2">
        <v>1</v>
      </c>
      <c r="D39" s="2">
        <v>30</v>
      </c>
      <c r="E39" s="2"/>
      <c r="F39" s="2">
        <v>1</v>
      </c>
      <c r="G39" s="2">
        <v>76.800000000000011</v>
      </c>
      <c r="H39" s="2">
        <v>42.240000000000009</v>
      </c>
      <c r="I39" s="2">
        <v>33.599999999999994</v>
      </c>
    </row>
    <row r="40" spans="1:9">
      <c r="A40" s="2" t="s">
        <v>116</v>
      </c>
      <c r="B40" s="2" t="str">
        <f t="shared" si="0"/>
        <v>LC_1006</v>
      </c>
      <c r="C40" s="2">
        <v>2</v>
      </c>
      <c r="D40" s="2">
        <v>40</v>
      </c>
      <c r="E40" s="2"/>
      <c r="F40" s="2">
        <v>2</v>
      </c>
      <c r="G40" s="2">
        <v>76.800000000000011</v>
      </c>
      <c r="H40" s="2">
        <v>42.240000000000009</v>
      </c>
      <c r="I40" s="2">
        <v>33.599999999999994</v>
      </c>
    </row>
    <row r="41" spans="1:9">
      <c r="A41" s="2" t="s">
        <v>117</v>
      </c>
      <c r="B41" s="2" t="str">
        <f t="shared" si="0"/>
        <v>LC_1006</v>
      </c>
      <c r="C41" s="2">
        <v>3</v>
      </c>
      <c r="D41" s="2">
        <v>50</v>
      </c>
      <c r="E41" s="2"/>
      <c r="F41" s="2">
        <v>3</v>
      </c>
      <c r="G41" s="2">
        <v>76.799999999999955</v>
      </c>
      <c r="H41" s="2">
        <v>42.239999999999952</v>
      </c>
      <c r="I41" s="2">
        <v>33.600000000000023</v>
      </c>
    </row>
    <row r="42" spans="1:9">
      <c r="A42" s="2" t="s">
        <v>118</v>
      </c>
      <c r="B42" s="2" t="str">
        <f t="shared" si="0"/>
        <v>LC_1006</v>
      </c>
      <c r="C42" s="2">
        <v>4</v>
      </c>
      <c r="D42" s="2">
        <v>60</v>
      </c>
      <c r="E42" s="2"/>
      <c r="F42" s="2">
        <v>4</v>
      </c>
      <c r="G42" s="2">
        <v>76.800000000000068</v>
      </c>
      <c r="H42" s="2">
        <v>42.240000000000009</v>
      </c>
      <c r="I42" s="2">
        <v>33.599999999999966</v>
      </c>
    </row>
    <row r="43" spans="1:9">
      <c r="A43" s="2" t="s">
        <v>119</v>
      </c>
      <c r="B43" s="2" t="str">
        <f t="shared" si="0"/>
        <v>LC_1006</v>
      </c>
      <c r="C43" s="2">
        <v>5</v>
      </c>
      <c r="D43" s="2">
        <v>70</v>
      </c>
      <c r="E43" s="2"/>
      <c r="F43" s="2">
        <v>5</v>
      </c>
      <c r="G43" s="2">
        <v>76.799999999999955</v>
      </c>
      <c r="H43" s="2">
        <v>42.240000000000009</v>
      </c>
      <c r="I43" s="2">
        <v>33.600000000000023</v>
      </c>
    </row>
    <row r="44" spans="1:9">
      <c r="A44" s="2" t="s">
        <v>120</v>
      </c>
      <c r="B44" s="2" t="str">
        <f t="shared" si="0"/>
        <v>LC_1006</v>
      </c>
      <c r="C44" s="2">
        <v>6</v>
      </c>
      <c r="D44" s="2">
        <v>80</v>
      </c>
      <c r="E44" s="2"/>
      <c r="F44" s="2">
        <v>5</v>
      </c>
      <c r="G44" s="2"/>
      <c r="H44" s="2"/>
      <c r="I44" s="2"/>
    </row>
    <row r="45" spans="1:9">
      <c r="A45" s="2" t="s">
        <v>121</v>
      </c>
      <c r="B45" s="2" t="str">
        <f t="shared" si="0"/>
        <v>LC_1007</v>
      </c>
      <c r="C45" s="2">
        <v>0</v>
      </c>
      <c r="D45" s="2">
        <v>20</v>
      </c>
      <c r="E45" s="2">
        <v>15</v>
      </c>
      <c r="F45" s="2"/>
      <c r="G45" s="2">
        <v>57.599999999999994</v>
      </c>
      <c r="H45" s="2">
        <v>28.799999999999997</v>
      </c>
      <c r="I45" s="2">
        <v>28.799999999999997</v>
      </c>
    </row>
    <row r="46" spans="1:9">
      <c r="A46" s="2" t="s">
        <v>122</v>
      </c>
      <c r="B46" s="2" t="str">
        <f t="shared" si="0"/>
        <v>LC_1007</v>
      </c>
      <c r="C46" s="2">
        <v>1</v>
      </c>
      <c r="D46" s="2">
        <v>30</v>
      </c>
      <c r="E46" s="2"/>
      <c r="F46" s="2">
        <v>1</v>
      </c>
      <c r="G46" s="2">
        <v>76.800000000000011</v>
      </c>
      <c r="H46" s="2">
        <v>38.400000000000006</v>
      </c>
      <c r="I46" s="2">
        <v>38.400000000000006</v>
      </c>
    </row>
    <row r="47" spans="1:9">
      <c r="A47" s="2" t="s">
        <v>123</v>
      </c>
      <c r="B47" s="2" t="str">
        <f t="shared" si="0"/>
        <v>LC_1007</v>
      </c>
      <c r="C47" s="2">
        <v>2</v>
      </c>
      <c r="D47" s="2">
        <v>40</v>
      </c>
      <c r="E47" s="2"/>
      <c r="F47" s="2">
        <v>2</v>
      </c>
      <c r="G47" s="2">
        <v>76.800000000000011</v>
      </c>
      <c r="H47" s="2">
        <v>38.400000000000006</v>
      </c>
      <c r="I47" s="2">
        <v>38.400000000000006</v>
      </c>
    </row>
    <row r="48" spans="1:9">
      <c r="A48" s="2" t="s">
        <v>124</v>
      </c>
      <c r="B48" s="2" t="str">
        <f t="shared" si="0"/>
        <v>LC_1007</v>
      </c>
      <c r="C48" s="2">
        <v>3</v>
      </c>
      <c r="D48" s="2">
        <v>50</v>
      </c>
      <c r="E48" s="2"/>
      <c r="F48" s="2">
        <v>3</v>
      </c>
      <c r="G48" s="2">
        <v>76.799999999999955</v>
      </c>
      <c r="H48" s="2">
        <v>38.399999999999977</v>
      </c>
      <c r="I48" s="2">
        <v>38.399999999999977</v>
      </c>
    </row>
    <row r="49" spans="1:9">
      <c r="A49" s="2" t="s">
        <v>125</v>
      </c>
      <c r="B49" s="2" t="str">
        <f t="shared" si="0"/>
        <v>LC_1007</v>
      </c>
      <c r="C49" s="2">
        <v>4</v>
      </c>
      <c r="D49" s="2">
        <v>60</v>
      </c>
      <c r="E49" s="2"/>
      <c r="F49" s="2">
        <v>4</v>
      </c>
      <c r="G49" s="2">
        <v>76.800000000000068</v>
      </c>
      <c r="H49" s="2">
        <v>38.400000000000034</v>
      </c>
      <c r="I49" s="2">
        <v>38.400000000000034</v>
      </c>
    </row>
    <row r="50" spans="1:9">
      <c r="A50" s="2" t="s">
        <v>126</v>
      </c>
      <c r="B50" s="2" t="str">
        <f t="shared" si="0"/>
        <v>LC_1007</v>
      </c>
      <c r="C50" s="2">
        <v>5</v>
      </c>
      <c r="D50" s="2">
        <v>70</v>
      </c>
      <c r="E50" s="2"/>
      <c r="F50" s="2">
        <v>5</v>
      </c>
      <c r="G50" s="2">
        <v>76.799999999999955</v>
      </c>
      <c r="H50" s="2">
        <v>38.399999999999977</v>
      </c>
      <c r="I50" s="2">
        <v>38.399999999999977</v>
      </c>
    </row>
    <row r="51" spans="1:9">
      <c r="A51" s="2" t="s">
        <v>127</v>
      </c>
      <c r="B51" s="2" t="str">
        <f t="shared" si="0"/>
        <v>LC_1007</v>
      </c>
      <c r="C51" s="2">
        <v>6</v>
      </c>
      <c r="D51" s="2">
        <v>80</v>
      </c>
      <c r="E51" s="2"/>
      <c r="F51" s="2">
        <v>5</v>
      </c>
      <c r="G51" s="2"/>
      <c r="H51" s="2"/>
      <c r="I51" s="2"/>
    </row>
    <row r="52" spans="1:9">
      <c r="A52" s="2" t="s">
        <v>128</v>
      </c>
      <c r="B52" s="2" t="str">
        <f t="shared" si="0"/>
        <v>LC_1008</v>
      </c>
      <c r="C52" s="2">
        <v>0</v>
      </c>
      <c r="D52" s="2">
        <v>20</v>
      </c>
      <c r="E52" s="2">
        <v>15</v>
      </c>
      <c r="F52" s="2"/>
      <c r="G52" s="2">
        <v>69.12</v>
      </c>
      <c r="H52" s="2">
        <v>25.92</v>
      </c>
      <c r="I52" s="2">
        <v>25.200000000000003</v>
      </c>
    </row>
    <row r="53" spans="1:9">
      <c r="A53" s="2" t="s">
        <v>129</v>
      </c>
      <c r="B53" s="2" t="str">
        <f t="shared" si="0"/>
        <v>LC_1008</v>
      </c>
      <c r="C53" s="2">
        <v>1</v>
      </c>
      <c r="D53" s="2">
        <v>30</v>
      </c>
      <c r="E53" s="2"/>
      <c r="F53" s="2">
        <v>1</v>
      </c>
      <c r="G53" s="2">
        <v>92.160000000000025</v>
      </c>
      <c r="H53" s="2">
        <v>34.56</v>
      </c>
      <c r="I53" s="2">
        <v>33.599999999999994</v>
      </c>
    </row>
    <row r="54" spans="1:9">
      <c r="A54" s="2" t="s">
        <v>130</v>
      </c>
      <c r="B54" s="2" t="str">
        <f t="shared" si="0"/>
        <v>LC_1008</v>
      </c>
      <c r="C54" s="2">
        <v>2</v>
      </c>
      <c r="D54" s="2">
        <v>40</v>
      </c>
      <c r="E54" s="2"/>
      <c r="F54" s="2">
        <v>2</v>
      </c>
      <c r="G54" s="2">
        <v>92.159999999999968</v>
      </c>
      <c r="H54" s="2">
        <v>34.56</v>
      </c>
      <c r="I54" s="2">
        <v>33.599999999999994</v>
      </c>
    </row>
    <row r="55" spans="1:9">
      <c r="A55" s="2" t="s">
        <v>131</v>
      </c>
      <c r="B55" s="2" t="str">
        <f t="shared" si="0"/>
        <v>LC_1008</v>
      </c>
      <c r="C55" s="2">
        <v>3</v>
      </c>
      <c r="D55" s="2">
        <v>50</v>
      </c>
      <c r="E55" s="2"/>
      <c r="F55" s="2">
        <v>3</v>
      </c>
      <c r="G55" s="2">
        <v>92.159999999999968</v>
      </c>
      <c r="H55" s="2">
        <v>34.56</v>
      </c>
      <c r="I55" s="2">
        <v>33.600000000000023</v>
      </c>
    </row>
    <row r="56" spans="1:9">
      <c r="A56" s="2" t="s">
        <v>132</v>
      </c>
      <c r="B56" s="2" t="str">
        <f t="shared" si="0"/>
        <v>LC_1008</v>
      </c>
      <c r="C56" s="2">
        <v>4</v>
      </c>
      <c r="D56" s="2">
        <v>60</v>
      </c>
      <c r="E56" s="2"/>
      <c r="F56" s="2">
        <v>4</v>
      </c>
      <c r="G56" s="2">
        <v>92.159999999999968</v>
      </c>
      <c r="H56" s="2">
        <v>34.56</v>
      </c>
      <c r="I56" s="2">
        <v>33.599999999999966</v>
      </c>
    </row>
    <row r="57" spans="1:9">
      <c r="A57" s="2" t="s">
        <v>133</v>
      </c>
      <c r="B57" s="2" t="str">
        <f t="shared" si="0"/>
        <v>LC_1008</v>
      </c>
      <c r="C57" s="2">
        <v>5</v>
      </c>
      <c r="D57" s="2">
        <v>70</v>
      </c>
      <c r="E57" s="2"/>
      <c r="F57" s="2">
        <v>5</v>
      </c>
      <c r="G57" s="2">
        <v>92.160000000000082</v>
      </c>
      <c r="H57" s="2">
        <v>34.56</v>
      </c>
      <c r="I57" s="2">
        <v>33.600000000000023</v>
      </c>
    </row>
    <row r="58" spans="1:9">
      <c r="A58" s="2" t="s">
        <v>134</v>
      </c>
      <c r="B58" s="2" t="str">
        <f t="shared" si="0"/>
        <v>LC_1008</v>
      </c>
      <c r="C58" s="2">
        <v>6</v>
      </c>
      <c r="D58" s="2">
        <v>80</v>
      </c>
      <c r="E58" s="2"/>
      <c r="F58" s="2">
        <v>5</v>
      </c>
      <c r="G58" s="2"/>
      <c r="H58" s="2"/>
      <c r="I58" s="2"/>
    </row>
    <row r="59" spans="1:9">
      <c r="A59" s="2" t="s">
        <v>135</v>
      </c>
      <c r="B59" s="2" t="str">
        <f t="shared" si="0"/>
        <v>LC_1009</v>
      </c>
      <c r="C59" s="2">
        <v>0</v>
      </c>
      <c r="D59" s="2">
        <v>20</v>
      </c>
      <c r="E59" s="2">
        <v>15</v>
      </c>
      <c r="F59" s="2"/>
      <c r="G59" s="2">
        <v>51.84</v>
      </c>
      <c r="H59" s="2">
        <v>34.56</v>
      </c>
      <c r="I59" s="2">
        <v>25.200000000000003</v>
      </c>
    </row>
    <row r="60" spans="1:9">
      <c r="A60" s="2" t="s">
        <v>136</v>
      </c>
      <c r="B60" s="2" t="str">
        <f t="shared" si="0"/>
        <v>LC_1009</v>
      </c>
      <c r="C60" s="2">
        <v>1</v>
      </c>
      <c r="D60" s="2">
        <v>30</v>
      </c>
      <c r="E60" s="2"/>
      <c r="F60" s="2">
        <v>1</v>
      </c>
      <c r="G60" s="2">
        <v>69.12</v>
      </c>
      <c r="H60" s="2">
        <v>46.080000000000013</v>
      </c>
      <c r="I60" s="2">
        <v>33.599999999999994</v>
      </c>
    </row>
    <row r="61" spans="1:9">
      <c r="A61" s="2" t="s">
        <v>137</v>
      </c>
      <c r="B61" s="2" t="str">
        <f t="shared" si="0"/>
        <v>LC_1009</v>
      </c>
      <c r="C61" s="2">
        <v>2</v>
      </c>
      <c r="D61" s="2">
        <v>40</v>
      </c>
      <c r="E61" s="2"/>
      <c r="F61" s="2">
        <v>2</v>
      </c>
      <c r="G61" s="2">
        <v>69.12</v>
      </c>
      <c r="H61" s="2">
        <v>46.079999999999984</v>
      </c>
      <c r="I61" s="2">
        <v>33.599999999999994</v>
      </c>
    </row>
    <row r="62" spans="1:9">
      <c r="A62" s="2" t="s">
        <v>138</v>
      </c>
      <c r="B62" s="2" t="str">
        <f t="shared" si="0"/>
        <v>LC_1009</v>
      </c>
      <c r="C62" s="2">
        <v>3</v>
      </c>
      <c r="D62" s="2">
        <v>50</v>
      </c>
      <c r="E62" s="2"/>
      <c r="F62" s="2">
        <v>3</v>
      </c>
      <c r="G62" s="2">
        <v>69.12</v>
      </c>
      <c r="H62" s="2">
        <v>46.079999999999984</v>
      </c>
      <c r="I62" s="2">
        <v>33.600000000000023</v>
      </c>
    </row>
    <row r="63" spans="1:9">
      <c r="A63" s="2" t="s">
        <v>139</v>
      </c>
      <c r="B63" s="2" t="str">
        <f t="shared" si="0"/>
        <v>LC_1009</v>
      </c>
      <c r="C63" s="2">
        <v>4</v>
      </c>
      <c r="D63" s="2">
        <v>60</v>
      </c>
      <c r="E63" s="2"/>
      <c r="F63" s="2">
        <v>4</v>
      </c>
      <c r="G63" s="2">
        <v>69.12</v>
      </c>
      <c r="H63" s="2">
        <v>46.079999999999984</v>
      </c>
      <c r="I63" s="2">
        <v>33.599999999999966</v>
      </c>
    </row>
    <row r="64" spans="1:9">
      <c r="A64" s="2" t="s">
        <v>140</v>
      </c>
      <c r="B64" s="2" t="str">
        <f t="shared" si="0"/>
        <v>LC_1009</v>
      </c>
      <c r="C64" s="2">
        <v>5</v>
      </c>
      <c r="D64" s="2">
        <v>70</v>
      </c>
      <c r="E64" s="2"/>
      <c r="F64" s="2">
        <v>5</v>
      </c>
      <c r="G64" s="2">
        <v>69.12</v>
      </c>
      <c r="H64" s="2">
        <v>46.080000000000041</v>
      </c>
      <c r="I64" s="2">
        <v>33.600000000000023</v>
      </c>
    </row>
    <row r="65" spans="1:9">
      <c r="A65" s="2" t="s">
        <v>141</v>
      </c>
      <c r="B65" s="2" t="str">
        <f t="shared" si="0"/>
        <v>LC_1009</v>
      </c>
      <c r="C65" s="2">
        <v>6</v>
      </c>
      <c r="D65" s="2">
        <v>80</v>
      </c>
      <c r="E65" s="2"/>
      <c r="F65" s="2">
        <v>5</v>
      </c>
      <c r="G65" s="2"/>
      <c r="H65" s="2"/>
      <c r="I65" s="2"/>
    </row>
    <row r="66" spans="1:9">
      <c r="A66" s="2" t="s">
        <v>142</v>
      </c>
      <c r="B66" s="2" t="str">
        <f t="shared" si="0"/>
        <v>LC_1010</v>
      </c>
      <c r="C66" s="2">
        <v>0</v>
      </c>
      <c r="D66" s="2">
        <v>20</v>
      </c>
      <c r="E66" s="2">
        <v>15</v>
      </c>
      <c r="F66" s="2"/>
      <c r="G66" s="2">
        <v>63.359999999999985</v>
      </c>
      <c r="H66" s="2">
        <v>25.92</v>
      </c>
      <c r="I66" s="2">
        <v>28.799999999999997</v>
      </c>
    </row>
    <row r="67" spans="1:9">
      <c r="A67" s="2" t="s">
        <v>143</v>
      </c>
      <c r="B67" s="2" t="str">
        <f t="shared" si="0"/>
        <v>LC_1010</v>
      </c>
      <c r="C67" s="2">
        <v>1</v>
      </c>
      <c r="D67" s="2">
        <v>30</v>
      </c>
      <c r="E67" s="2"/>
      <c r="F67" s="2">
        <v>1</v>
      </c>
      <c r="G67" s="2">
        <v>84.480000000000018</v>
      </c>
      <c r="H67" s="2">
        <v>34.56</v>
      </c>
      <c r="I67" s="2">
        <v>38.400000000000006</v>
      </c>
    </row>
    <row r="68" spans="1:9">
      <c r="A68" s="2" t="s">
        <v>144</v>
      </c>
      <c r="B68" s="2" t="str">
        <f t="shared" ref="B68:B72" si="1">LEFT(A68, 2) &amp; "_" &amp; _xlfn.TEXTBEFORE(_xlfn.TEXTAFTER(A68, "_"), "_")</f>
        <v>LC_1010</v>
      </c>
      <c r="C68" s="2">
        <v>2</v>
      </c>
      <c r="D68" s="2">
        <v>40</v>
      </c>
      <c r="E68" s="2"/>
      <c r="F68" s="2">
        <v>2</v>
      </c>
      <c r="G68" s="2">
        <v>84.480000000000018</v>
      </c>
      <c r="H68" s="2">
        <v>34.56</v>
      </c>
      <c r="I68" s="2">
        <v>38.400000000000006</v>
      </c>
    </row>
    <row r="69" spans="1:9">
      <c r="A69" s="2" t="s">
        <v>145</v>
      </c>
      <c r="B69" s="2" t="str">
        <f t="shared" si="1"/>
        <v>LC_1010</v>
      </c>
      <c r="C69" s="2">
        <v>3</v>
      </c>
      <c r="D69" s="2">
        <v>50</v>
      </c>
      <c r="E69" s="2"/>
      <c r="F69" s="2">
        <v>3</v>
      </c>
      <c r="G69" s="2">
        <v>84.479999999999905</v>
      </c>
      <c r="H69" s="2">
        <v>34.56</v>
      </c>
      <c r="I69" s="2">
        <v>38.399999999999977</v>
      </c>
    </row>
    <row r="70" spans="1:9">
      <c r="A70" s="2" t="s">
        <v>146</v>
      </c>
      <c r="B70" s="2" t="str">
        <f t="shared" si="1"/>
        <v>LC_1010</v>
      </c>
      <c r="C70" s="2">
        <v>4</v>
      </c>
      <c r="D70" s="2">
        <v>60</v>
      </c>
      <c r="E70" s="2"/>
      <c r="F70" s="2">
        <v>4</v>
      </c>
      <c r="G70" s="2">
        <v>84.480000000000018</v>
      </c>
      <c r="H70" s="2">
        <v>34.56</v>
      </c>
      <c r="I70" s="2">
        <v>38.400000000000034</v>
      </c>
    </row>
    <row r="71" spans="1:9">
      <c r="A71" s="2" t="s">
        <v>147</v>
      </c>
      <c r="B71" s="2" t="str">
        <f t="shared" si="1"/>
        <v>LC_1010</v>
      </c>
      <c r="C71" s="2">
        <v>5</v>
      </c>
      <c r="D71" s="2">
        <v>70</v>
      </c>
      <c r="E71" s="2"/>
      <c r="F71" s="2">
        <v>5</v>
      </c>
      <c r="G71" s="2">
        <v>84.480000000000018</v>
      </c>
      <c r="H71" s="2">
        <v>34.56</v>
      </c>
      <c r="I71" s="2">
        <v>38.399999999999977</v>
      </c>
    </row>
    <row r="72" spans="1:9">
      <c r="A72" s="2" t="s">
        <v>148</v>
      </c>
      <c r="B72" s="2" t="str">
        <f t="shared" si="1"/>
        <v>LC_1010</v>
      </c>
      <c r="C72" s="2">
        <v>6</v>
      </c>
      <c r="D72" s="2">
        <v>80</v>
      </c>
      <c r="E72" s="2"/>
      <c r="F72" s="2">
        <v>5</v>
      </c>
      <c r="G72" s="2"/>
      <c r="H72" s="2"/>
      <c r="I72" s="2"/>
    </row>
  </sheetData>
  <mergeCells count="1">
    <mergeCell ref="A1:I1"/>
  </mergeCells>
  <phoneticPr fontId="6"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12"/>
  <sheetViews>
    <sheetView showGridLines="0" workbookViewId="0"/>
  </sheetViews>
  <sheetFormatPr defaultRowHeight="14.25"/>
  <cols>
    <col min="1" max="1" width="34" customWidth="1"/>
    <col min="2" max="2" width="150.375" customWidth="1"/>
  </cols>
  <sheetData>
    <row r="1" spans="1:2" ht="30" customHeight="1">
      <c r="A1" s="18" t="s">
        <v>149</v>
      </c>
      <c r="B1" s="18"/>
    </row>
    <row r="2" spans="1:2" ht="36" customHeight="1">
      <c r="A2" s="1" t="s">
        <v>150</v>
      </c>
      <c r="B2" s="1" t="s">
        <v>151</v>
      </c>
    </row>
    <row r="3" spans="1:2">
      <c r="A3" s="2" t="s">
        <v>152</v>
      </c>
      <c r="B3" s="4" t="s">
        <v>153</v>
      </c>
    </row>
    <row r="4" spans="1:2">
      <c r="A4" s="2" t="s">
        <v>154</v>
      </c>
      <c r="B4" s="4" t="s">
        <v>155</v>
      </c>
    </row>
    <row r="5" spans="1:2">
      <c r="A5" s="2" t="s">
        <v>156</v>
      </c>
      <c r="B5" s="4" t="s">
        <v>157</v>
      </c>
    </row>
    <row r="6" spans="1:2">
      <c r="A6" s="2" t="s">
        <v>158</v>
      </c>
      <c r="B6" s="4" t="s">
        <v>159</v>
      </c>
    </row>
    <row r="7" spans="1:2">
      <c r="A7" s="2" t="s">
        <v>160</v>
      </c>
      <c r="B7" s="4" t="s">
        <v>161</v>
      </c>
    </row>
    <row r="8" spans="1:2">
      <c r="A8" s="2" t="s">
        <v>162</v>
      </c>
      <c r="B8" s="4" t="s">
        <v>163</v>
      </c>
    </row>
    <row r="9" spans="1:2">
      <c r="A9" s="2" t="s">
        <v>164</v>
      </c>
      <c r="B9" s="4" t="s">
        <v>165</v>
      </c>
    </row>
    <row r="10" spans="1:2">
      <c r="A10" s="2" t="s">
        <v>166</v>
      </c>
      <c r="B10" s="4" t="s">
        <v>167</v>
      </c>
    </row>
    <row r="11" spans="1:2">
      <c r="A11" s="2" t="s">
        <v>168</v>
      </c>
      <c r="B11" s="4" t="s">
        <v>169</v>
      </c>
    </row>
    <row r="12" spans="1:2">
      <c r="A12" s="2" t="s">
        <v>170</v>
      </c>
      <c r="B12" s="4" t="s">
        <v>171</v>
      </c>
    </row>
  </sheetData>
  <mergeCells count="1">
    <mergeCell ref="A1:B1"/>
  </mergeCells>
  <phoneticPr fontId="6"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E174"/>
  <sheetViews>
    <sheetView showGridLines="0" workbookViewId="0"/>
  </sheetViews>
  <sheetFormatPr defaultRowHeight="14.25"/>
  <cols>
    <col min="1" max="1" width="34" customWidth="1"/>
    <col min="2" max="3" width="14" customWidth="1"/>
    <col min="4" max="4" width="30" customWidth="1"/>
    <col min="5" max="5" width="16" customWidth="1"/>
  </cols>
  <sheetData>
    <row r="1" spans="1:5" ht="30" customHeight="1">
      <c r="A1" s="18" t="s">
        <v>149</v>
      </c>
      <c r="B1" s="18"/>
      <c r="C1" s="18"/>
      <c r="D1" s="18"/>
      <c r="E1" s="18"/>
    </row>
    <row r="2" spans="1:5" ht="33.950000000000003" customHeight="1">
      <c r="A2" s="19" t="s">
        <v>172</v>
      </c>
      <c r="B2" s="19"/>
      <c r="C2" s="19"/>
      <c r="D2" s="19"/>
      <c r="E2" s="19"/>
    </row>
    <row r="3" spans="1:5" ht="21.95" customHeight="1">
      <c r="A3" s="20" t="s">
        <v>173</v>
      </c>
      <c r="B3" s="20"/>
      <c r="C3" s="20"/>
      <c r="D3" s="20"/>
      <c r="E3" s="20"/>
    </row>
    <row r="4" spans="1:5" ht="36" customHeight="1">
      <c r="A4" s="1" t="s">
        <v>174</v>
      </c>
      <c r="B4" s="1" t="s">
        <v>175</v>
      </c>
      <c r="C4" s="1" t="s">
        <v>176</v>
      </c>
      <c r="D4" s="1" t="s">
        <v>10</v>
      </c>
      <c r="E4" s="1" t="s">
        <v>177</v>
      </c>
    </row>
    <row r="5" spans="1:5">
      <c r="A5" s="2" t="s">
        <v>178</v>
      </c>
      <c r="B5" s="2" t="s">
        <v>179</v>
      </c>
      <c r="C5" s="2">
        <v>2</v>
      </c>
      <c r="D5" s="2" t="s">
        <v>180</v>
      </c>
      <c r="E5" s="3">
        <v>5000</v>
      </c>
    </row>
    <row r="6" spans="1:5">
      <c r="A6" s="2" t="s">
        <v>181</v>
      </c>
      <c r="B6" s="2" t="s">
        <v>179</v>
      </c>
      <c r="C6" s="2">
        <v>115001</v>
      </c>
      <c r="D6" s="2" t="s">
        <v>182</v>
      </c>
      <c r="E6" s="3">
        <v>8</v>
      </c>
    </row>
    <row r="7" spans="1:5">
      <c r="A7" s="2" t="s">
        <v>183</v>
      </c>
      <c r="B7" s="2" t="s">
        <v>179</v>
      </c>
      <c r="C7" s="2">
        <v>2</v>
      </c>
      <c r="D7" s="2" t="s">
        <v>180</v>
      </c>
      <c r="E7" s="3">
        <v>10000</v>
      </c>
    </row>
    <row r="8" spans="1:5">
      <c r="A8" s="2" t="s">
        <v>184</v>
      </c>
      <c r="B8" s="2" t="s">
        <v>179</v>
      </c>
      <c r="C8" s="2">
        <v>110181</v>
      </c>
      <c r="D8" s="2" t="s">
        <v>185</v>
      </c>
      <c r="E8" s="3">
        <v>4</v>
      </c>
    </row>
    <row r="9" spans="1:5">
      <c r="A9" s="2" t="s">
        <v>186</v>
      </c>
      <c r="B9" s="2" t="s">
        <v>179</v>
      </c>
      <c r="C9" s="2">
        <v>115001</v>
      </c>
      <c r="D9" s="2" t="s">
        <v>182</v>
      </c>
      <c r="E9" s="3">
        <v>12</v>
      </c>
    </row>
    <row r="10" spans="1:5">
      <c r="A10" s="2" t="s">
        <v>187</v>
      </c>
      <c r="B10" s="2" t="s">
        <v>179</v>
      </c>
      <c r="C10" s="2">
        <v>2</v>
      </c>
      <c r="D10" s="2" t="s">
        <v>180</v>
      </c>
      <c r="E10" s="3">
        <v>20000</v>
      </c>
    </row>
    <row r="11" spans="1:5">
      <c r="A11" s="2" t="s">
        <v>188</v>
      </c>
      <c r="B11" s="2" t="s">
        <v>179</v>
      </c>
      <c r="C11" s="2">
        <v>110182</v>
      </c>
      <c r="D11" s="2" t="s">
        <v>189</v>
      </c>
      <c r="E11" s="3">
        <v>4</v>
      </c>
    </row>
    <row r="12" spans="1:5">
      <c r="A12" s="2" t="s">
        <v>190</v>
      </c>
      <c r="B12" s="2" t="s">
        <v>179</v>
      </c>
      <c r="C12" s="2">
        <v>115002</v>
      </c>
      <c r="D12" s="2" t="s">
        <v>191</v>
      </c>
      <c r="E12" s="3">
        <v>8</v>
      </c>
    </row>
    <row r="13" spans="1:5">
      <c r="A13" s="2" t="s">
        <v>192</v>
      </c>
      <c r="B13" s="2" t="s">
        <v>179</v>
      </c>
      <c r="C13" s="2">
        <v>2</v>
      </c>
      <c r="D13" s="2" t="s">
        <v>180</v>
      </c>
      <c r="E13" s="3">
        <v>50000</v>
      </c>
    </row>
    <row r="14" spans="1:5">
      <c r="A14" s="2" t="s">
        <v>193</v>
      </c>
      <c r="B14" s="2" t="s">
        <v>179</v>
      </c>
      <c r="C14" s="2">
        <v>110182</v>
      </c>
      <c r="D14" s="2" t="s">
        <v>189</v>
      </c>
      <c r="E14" s="3">
        <v>8</v>
      </c>
    </row>
    <row r="15" spans="1:5">
      <c r="A15" s="2" t="s">
        <v>194</v>
      </c>
      <c r="B15" s="2" t="s">
        <v>179</v>
      </c>
      <c r="C15" s="2">
        <v>115002</v>
      </c>
      <c r="D15" s="2" t="s">
        <v>191</v>
      </c>
      <c r="E15" s="3">
        <v>12</v>
      </c>
    </row>
    <row r="16" spans="1:5">
      <c r="A16" s="2" t="s">
        <v>195</v>
      </c>
      <c r="B16" s="2" t="s">
        <v>179</v>
      </c>
      <c r="C16" s="2">
        <v>2</v>
      </c>
      <c r="D16" s="2" t="s">
        <v>180</v>
      </c>
      <c r="E16" s="3">
        <v>100000</v>
      </c>
    </row>
    <row r="17" spans="1:5">
      <c r="A17" s="2" t="s">
        <v>196</v>
      </c>
      <c r="B17" s="2" t="s">
        <v>179</v>
      </c>
      <c r="C17" s="2">
        <v>110183</v>
      </c>
      <c r="D17" s="2" t="s">
        <v>197</v>
      </c>
      <c r="E17" s="3">
        <v>5</v>
      </c>
    </row>
    <row r="18" spans="1:5">
      <c r="A18" s="2" t="s">
        <v>198</v>
      </c>
      <c r="B18" s="2" t="s">
        <v>179</v>
      </c>
      <c r="C18" s="2">
        <v>115003</v>
      </c>
      <c r="D18" s="2" t="s">
        <v>199</v>
      </c>
      <c r="E18" s="3">
        <v>6</v>
      </c>
    </row>
    <row r="19" spans="1:5">
      <c r="A19" s="2" t="s">
        <v>200</v>
      </c>
      <c r="B19" s="2" t="s">
        <v>179</v>
      </c>
      <c r="C19" s="2">
        <v>2</v>
      </c>
      <c r="D19" s="2" t="s">
        <v>180</v>
      </c>
      <c r="E19" s="3">
        <v>200000</v>
      </c>
    </row>
    <row r="20" spans="1:5">
      <c r="A20" s="2" t="s">
        <v>201</v>
      </c>
      <c r="B20" s="2" t="s">
        <v>179</v>
      </c>
      <c r="C20" s="2">
        <v>110183</v>
      </c>
      <c r="D20" s="2" t="s">
        <v>197</v>
      </c>
      <c r="E20" s="3">
        <v>10</v>
      </c>
    </row>
    <row r="21" spans="1:5">
      <c r="A21" s="2" t="s">
        <v>202</v>
      </c>
      <c r="B21" s="2" t="s">
        <v>179</v>
      </c>
      <c r="C21" s="2">
        <v>115003</v>
      </c>
      <c r="D21" s="2" t="s">
        <v>199</v>
      </c>
      <c r="E21" s="3">
        <v>8</v>
      </c>
    </row>
    <row r="22" spans="1:5">
      <c r="A22" s="2" t="s">
        <v>203</v>
      </c>
      <c r="B22" s="2" t="s">
        <v>204</v>
      </c>
      <c r="C22" s="2">
        <v>2</v>
      </c>
      <c r="D22" s="2" t="s">
        <v>180</v>
      </c>
      <c r="E22" s="3">
        <v>5000</v>
      </c>
    </row>
    <row r="23" spans="1:5">
      <c r="A23" s="2" t="s">
        <v>205</v>
      </c>
      <c r="B23" s="2" t="s">
        <v>204</v>
      </c>
      <c r="C23" s="2">
        <v>113011</v>
      </c>
      <c r="D23" s="2" t="s">
        <v>206</v>
      </c>
      <c r="E23" s="3">
        <v>8</v>
      </c>
    </row>
    <row r="24" spans="1:5">
      <c r="A24" s="2" t="s">
        <v>207</v>
      </c>
      <c r="B24" s="2" t="s">
        <v>204</v>
      </c>
      <c r="C24" s="2">
        <v>2</v>
      </c>
      <c r="D24" s="2" t="s">
        <v>180</v>
      </c>
      <c r="E24" s="3">
        <v>10000</v>
      </c>
    </row>
    <row r="25" spans="1:5">
      <c r="A25" s="2" t="s">
        <v>208</v>
      </c>
      <c r="B25" s="2" t="s">
        <v>204</v>
      </c>
      <c r="C25" s="2">
        <v>110191</v>
      </c>
      <c r="D25" s="2" t="s">
        <v>209</v>
      </c>
      <c r="E25" s="3">
        <v>4</v>
      </c>
    </row>
    <row r="26" spans="1:5">
      <c r="A26" s="2" t="s">
        <v>210</v>
      </c>
      <c r="B26" s="2" t="s">
        <v>204</v>
      </c>
      <c r="C26" s="2">
        <v>113011</v>
      </c>
      <c r="D26" s="2" t="s">
        <v>206</v>
      </c>
      <c r="E26" s="3">
        <v>12</v>
      </c>
    </row>
    <row r="27" spans="1:5">
      <c r="A27" s="2" t="s">
        <v>211</v>
      </c>
      <c r="B27" s="2" t="s">
        <v>204</v>
      </c>
      <c r="C27" s="2">
        <v>2</v>
      </c>
      <c r="D27" s="2" t="s">
        <v>180</v>
      </c>
      <c r="E27" s="3">
        <v>20000</v>
      </c>
    </row>
    <row r="28" spans="1:5">
      <c r="A28" s="2" t="s">
        <v>212</v>
      </c>
      <c r="B28" s="2" t="s">
        <v>204</v>
      </c>
      <c r="C28" s="2">
        <v>110192</v>
      </c>
      <c r="D28" s="2" t="s">
        <v>213</v>
      </c>
      <c r="E28" s="3">
        <v>4</v>
      </c>
    </row>
    <row r="29" spans="1:5">
      <c r="A29" s="2" t="s">
        <v>214</v>
      </c>
      <c r="B29" s="2" t="s">
        <v>204</v>
      </c>
      <c r="C29" s="2">
        <v>113012</v>
      </c>
      <c r="D29" s="2" t="s">
        <v>215</v>
      </c>
      <c r="E29" s="3">
        <v>8</v>
      </c>
    </row>
    <row r="30" spans="1:5">
      <c r="A30" s="2" t="s">
        <v>216</v>
      </c>
      <c r="B30" s="2" t="s">
        <v>204</v>
      </c>
      <c r="C30" s="2">
        <v>2</v>
      </c>
      <c r="D30" s="2" t="s">
        <v>180</v>
      </c>
      <c r="E30" s="3">
        <v>50000</v>
      </c>
    </row>
    <row r="31" spans="1:5">
      <c r="A31" s="2" t="s">
        <v>217</v>
      </c>
      <c r="B31" s="2" t="s">
        <v>204</v>
      </c>
      <c r="C31" s="2">
        <v>110192</v>
      </c>
      <c r="D31" s="2" t="s">
        <v>213</v>
      </c>
      <c r="E31" s="3">
        <v>8</v>
      </c>
    </row>
    <row r="32" spans="1:5">
      <c r="A32" s="2" t="s">
        <v>218</v>
      </c>
      <c r="B32" s="2" t="s">
        <v>204</v>
      </c>
      <c r="C32" s="2">
        <v>113012</v>
      </c>
      <c r="D32" s="2" t="s">
        <v>215</v>
      </c>
      <c r="E32" s="3">
        <v>12</v>
      </c>
    </row>
    <row r="33" spans="1:5">
      <c r="A33" s="2" t="s">
        <v>219</v>
      </c>
      <c r="B33" s="2" t="s">
        <v>204</v>
      </c>
      <c r="C33" s="2">
        <v>2</v>
      </c>
      <c r="D33" s="2" t="s">
        <v>180</v>
      </c>
      <c r="E33" s="3">
        <v>100000</v>
      </c>
    </row>
    <row r="34" spans="1:5">
      <c r="A34" s="2" t="s">
        <v>220</v>
      </c>
      <c r="B34" s="2" t="s">
        <v>204</v>
      </c>
      <c r="C34" s="2">
        <v>110193</v>
      </c>
      <c r="D34" s="2" t="s">
        <v>221</v>
      </c>
      <c r="E34" s="3">
        <v>5</v>
      </c>
    </row>
    <row r="35" spans="1:5">
      <c r="A35" s="2" t="s">
        <v>222</v>
      </c>
      <c r="B35" s="2" t="s">
        <v>204</v>
      </c>
      <c r="C35" s="2">
        <v>113013</v>
      </c>
      <c r="D35" s="2" t="s">
        <v>223</v>
      </c>
      <c r="E35" s="3">
        <v>6</v>
      </c>
    </row>
    <row r="36" spans="1:5">
      <c r="A36" s="2" t="s">
        <v>224</v>
      </c>
      <c r="B36" s="2" t="s">
        <v>204</v>
      </c>
      <c r="C36" s="2">
        <v>2</v>
      </c>
      <c r="D36" s="2" t="s">
        <v>180</v>
      </c>
      <c r="E36" s="3">
        <v>200000</v>
      </c>
    </row>
    <row r="37" spans="1:5">
      <c r="A37" s="2" t="s">
        <v>225</v>
      </c>
      <c r="B37" s="2" t="s">
        <v>204</v>
      </c>
      <c r="C37" s="2">
        <v>110193</v>
      </c>
      <c r="D37" s="2" t="s">
        <v>221</v>
      </c>
      <c r="E37" s="3">
        <v>10</v>
      </c>
    </row>
    <row r="38" spans="1:5">
      <c r="A38" s="2" t="s">
        <v>226</v>
      </c>
      <c r="B38" s="2" t="s">
        <v>204</v>
      </c>
      <c r="C38" s="2">
        <v>113013</v>
      </c>
      <c r="D38" s="2" t="s">
        <v>223</v>
      </c>
      <c r="E38" s="3">
        <v>8</v>
      </c>
    </row>
    <row r="39" spans="1:5">
      <c r="A39" s="2" t="s">
        <v>227</v>
      </c>
      <c r="B39" s="2" t="s">
        <v>228</v>
      </c>
      <c r="C39" s="2">
        <v>2</v>
      </c>
      <c r="D39" s="2" t="s">
        <v>180</v>
      </c>
      <c r="E39" s="3">
        <v>5000</v>
      </c>
    </row>
    <row r="40" spans="1:5">
      <c r="A40" s="2" t="s">
        <v>229</v>
      </c>
      <c r="B40" s="2" t="s">
        <v>228</v>
      </c>
      <c r="C40" s="2">
        <v>116001</v>
      </c>
      <c r="D40" s="2" t="s">
        <v>230</v>
      </c>
      <c r="E40" s="3">
        <v>8</v>
      </c>
    </row>
    <row r="41" spans="1:5">
      <c r="A41" s="2" t="s">
        <v>231</v>
      </c>
      <c r="B41" s="2" t="s">
        <v>228</v>
      </c>
      <c r="C41" s="2">
        <v>2</v>
      </c>
      <c r="D41" s="2" t="s">
        <v>180</v>
      </c>
      <c r="E41" s="3">
        <v>10000</v>
      </c>
    </row>
    <row r="42" spans="1:5">
      <c r="A42" s="2" t="s">
        <v>232</v>
      </c>
      <c r="B42" s="2" t="s">
        <v>228</v>
      </c>
      <c r="C42" s="2">
        <v>110291</v>
      </c>
      <c r="D42" s="2" t="s">
        <v>233</v>
      </c>
      <c r="E42" s="3">
        <v>4</v>
      </c>
    </row>
    <row r="43" spans="1:5">
      <c r="A43" s="2" t="s">
        <v>234</v>
      </c>
      <c r="B43" s="2" t="s">
        <v>228</v>
      </c>
      <c r="C43" s="2">
        <v>116001</v>
      </c>
      <c r="D43" s="2" t="s">
        <v>230</v>
      </c>
      <c r="E43" s="3">
        <v>12</v>
      </c>
    </row>
    <row r="44" spans="1:5">
      <c r="A44" s="2" t="s">
        <v>235</v>
      </c>
      <c r="B44" s="2" t="s">
        <v>228</v>
      </c>
      <c r="C44" s="2">
        <v>2</v>
      </c>
      <c r="D44" s="2" t="s">
        <v>180</v>
      </c>
      <c r="E44" s="3">
        <v>20000</v>
      </c>
    </row>
    <row r="45" spans="1:5">
      <c r="A45" s="2" t="s">
        <v>236</v>
      </c>
      <c r="B45" s="2" t="s">
        <v>228</v>
      </c>
      <c r="C45" s="2">
        <v>110292</v>
      </c>
      <c r="D45" s="2" t="s">
        <v>237</v>
      </c>
      <c r="E45" s="3">
        <v>4</v>
      </c>
    </row>
    <row r="46" spans="1:5">
      <c r="A46" s="2" t="s">
        <v>238</v>
      </c>
      <c r="B46" s="2" t="s">
        <v>228</v>
      </c>
      <c r="C46" s="2">
        <v>116002</v>
      </c>
      <c r="D46" s="2" t="s">
        <v>239</v>
      </c>
      <c r="E46" s="3">
        <v>8</v>
      </c>
    </row>
    <row r="47" spans="1:5">
      <c r="A47" s="2" t="s">
        <v>240</v>
      </c>
      <c r="B47" s="2" t="s">
        <v>228</v>
      </c>
      <c r="C47" s="2">
        <v>2</v>
      </c>
      <c r="D47" s="2" t="s">
        <v>180</v>
      </c>
      <c r="E47" s="3">
        <v>50000</v>
      </c>
    </row>
    <row r="48" spans="1:5">
      <c r="A48" s="2" t="s">
        <v>241</v>
      </c>
      <c r="B48" s="2" t="s">
        <v>228</v>
      </c>
      <c r="C48" s="2">
        <v>110292</v>
      </c>
      <c r="D48" s="2" t="s">
        <v>237</v>
      </c>
      <c r="E48" s="3">
        <v>8</v>
      </c>
    </row>
    <row r="49" spans="1:5">
      <c r="A49" s="2" t="s">
        <v>242</v>
      </c>
      <c r="B49" s="2" t="s">
        <v>228</v>
      </c>
      <c r="C49" s="2">
        <v>116002</v>
      </c>
      <c r="D49" s="2" t="s">
        <v>239</v>
      </c>
      <c r="E49" s="3">
        <v>12</v>
      </c>
    </row>
    <row r="50" spans="1:5">
      <c r="A50" s="2" t="s">
        <v>243</v>
      </c>
      <c r="B50" s="2" t="s">
        <v>228</v>
      </c>
      <c r="C50" s="2">
        <v>2</v>
      </c>
      <c r="D50" s="2" t="s">
        <v>180</v>
      </c>
      <c r="E50" s="3">
        <v>100000</v>
      </c>
    </row>
    <row r="51" spans="1:5">
      <c r="A51" s="2" t="s">
        <v>244</v>
      </c>
      <c r="B51" s="2" t="s">
        <v>228</v>
      </c>
      <c r="C51" s="2">
        <v>110293</v>
      </c>
      <c r="D51" s="2" t="s">
        <v>245</v>
      </c>
      <c r="E51" s="3">
        <v>5</v>
      </c>
    </row>
    <row r="52" spans="1:5">
      <c r="A52" s="2" t="s">
        <v>246</v>
      </c>
      <c r="B52" s="2" t="s">
        <v>228</v>
      </c>
      <c r="C52" s="2">
        <v>116003</v>
      </c>
      <c r="D52" s="2" t="s">
        <v>247</v>
      </c>
      <c r="E52" s="3">
        <v>6</v>
      </c>
    </row>
    <row r="53" spans="1:5">
      <c r="A53" s="2" t="s">
        <v>248</v>
      </c>
      <c r="B53" s="2" t="s">
        <v>228</v>
      </c>
      <c r="C53" s="2">
        <v>2</v>
      </c>
      <c r="D53" s="2" t="s">
        <v>180</v>
      </c>
      <c r="E53" s="3">
        <v>200000</v>
      </c>
    </row>
    <row r="54" spans="1:5">
      <c r="A54" s="2" t="s">
        <v>249</v>
      </c>
      <c r="B54" s="2" t="s">
        <v>228</v>
      </c>
      <c r="C54" s="2">
        <v>110293</v>
      </c>
      <c r="D54" s="2" t="s">
        <v>245</v>
      </c>
      <c r="E54" s="3">
        <v>10</v>
      </c>
    </row>
    <row r="55" spans="1:5">
      <c r="A55" s="2" t="s">
        <v>250</v>
      </c>
      <c r="B55" s="2" t="s">
        <v>228</v>
      </c>
      <c r="C55" s="2">
        <v>116003</v>
      </c>
      <c r="D55" s="2" t="s">
        <v>247</v>
      </c>
      <c r="E55" s="3">
        <v>8</v>
      </c>
    </row>
    <row r="56" spans="1:5">
      <c r="A56" s="2" t="s">
        <v>251</v>
      </c>
      <c r="B56" s="2" t="s">
        <v>252</v>
      </c>
      <c r="C56" s="2">
        <v>2</v>
      </c>
      <c r="D56" s="2" t="s">
        <v>180</v>
      </c>
      <c r="E56" s="3">
        <v>5000</v>
      </c>
    </row>
    <row r="57" spans="1:5">
      <c r="A57" s="2" t="s">
        <v>253</v>
      </c>
      <c r="B57" s="2" t="s">
        <v>252</v>
      </c>
      <c r="C57" s="2">
        <v>114011</v>
      </c>
      <c r="D57" s="2" t="s">
        <v>254</v>
      </c>
      <c r="E57" s="3">
        <v>8</v>
      </c>
    </row>
    <row r="58" spans="1:5">
      <c r="A58" s="2" t="s">
        <v>255</v>
      </c>
      <c r="B58" s="2" t="s">
        <v>252</v>
      </c>
      <c r="C58" s="2">
        <v>2</v>
      </c>
      <c r="D58" s="2" t="s">
        <v>180</v>
      </c>
      <c r="E58" s="3">
        <v>10000</v>
      </c>
    </row>
    <row r="59" spans="1:5">
      <c r="A59" s="2" t="s">
        <v>256</v>
      </c>
      <c r="B59" s="2" t="s">
        <v>252</v>
      </c>
      <c r="C59" s="2">
        <v>110231</v>
      </c>
      <c r="D59" s="2" t="s">
        <v>257</v>
      </c>
      <c r="E59" s="3">
        <v>4</v>
      </c>
    </row>
    <row r="60" spans="1:5">
      <c r="A60" s="2" t="s">
        <v>258</v>
      </c>
      <c r="B60" s="2" t="s">
        <v>252</v>
      </c>
      <c r="C60" s="2">
        <v>114011</v>
      </c>
      <c r="D60" s="2" t="s">
        <v>254</v>
      </c>
      <c r="E60" s="3">
        <v>12</v>
      </c>
    </row>
    <row r="61" spans="1:5">
      <c r="A61" s="2" t="s">
        <v>259</v>
      </c>
      <c r="B61" s="2" t="s">
        <v>252</v>
      </c>
      <c r="C61" s="2">
        <v>2</v>
      </c>
      <c r="D61" s="2" t="s">
        <v>180</v>
      </c>
      <c r="E61" s="3">
        <v>20000</v>
      </c>
    </row>
    <row r="62" spans="1:5">
      <c r="A62" s="2" t="s">
        <v>260</v>
      </c>
      <c r="B62" s="2" t="s">
        <v>252</v>
      </c>
      <c r="C62" s="2">
        <v>110232</v>
      </c>
      <c r="D62" s="2" t="s">
        <v>261</v>
      </c>
      <c r="E62" s="3">
        <v>4</v>
      </c>
    </row>
    <row r="63" spans="1:5">
      <c r="A63" s="2" t="s">
        <v>262</v>
      </c>
      <c r="B63" s="2" t="s">
        <v>252</v>
      </c>
      <c r="C63" s="2">
        <v>114012</v>
      </c>
      <c r="D63" s="2" t="s">
        <v>263</v>
      </c>
      <c r="E63" s="3">
        <v>8</v>
      </c>
    </row>
    <row r="64" spans="1:5">
      <c r="A64" s="2" t="s">
        <v>264</v>
      </c>
      <c r="B64" s="2" t="s">
        <v>252</v>
      </c>
      <c r="C64" s="2">
        <v>2</v>
      </c>
      <c r="D64" s="2" t="s">
        <v>180</v>
      </c>
      <c r="E64" s="3">
        <v>50000</v>
      </c>
    </row>
    <row r="65" spans="1:5">
      <c r="A65" s="2" t="s">
        <v>265</v>
      </c>
      <c r="B65" s="2" t="s">
        <v>252</v>
      </c>
      <c r="C65" s="2">
        <v>110232</v>
      </c>
      <c r="D65" s="2" t="s">
        <v>261</v>
      </c>
      <c r="E65" s="3">
        <v>8</v>
      </c>
    </row>
    <row r="66" spans="1:5">
      <c r="A66" s="2" t="s">
        <v>266</v>
      </c>
      <c r="B66" s="2" t="s">
        <v>252</v>
      </c>
      <c r="C66" s="2">
        <v>114012</v>
      </c>
      <c r="D66" s="2" t="s">
        <v>263</v>
      </c>
      <c r="E66" s="3">
        <v>12</v>
      </c>
    </row>
    <row r="67" spans="1:5">
      <c r="A67" s="2" t="s">
        <v>267</v>
      </c>
      <c r="B67" s="2" t="s">
        <v>252</v>
      </c>
      <c r="C67" s="2">
        <v>2</v>
      </c>
      <c r="D67" s="2" t="s">
        <v>180</v>
      </c>
      <c r="E67" s="3">
        <v>100000</v>
      </c>
    </row>
    <row r="68" spans="1:5">
      <c r="A68" s="2" t="s">
        <v>268</v>
      </c>
      <c r="B68" s="2" t="s">
        <v>252</v>
      </c>
      <c r="C68" s="2">
        <v>110233</v>
      </c>
      <c r="D68" s="2" t="s">
        <v>269</v>
      </c>
      <c r="E68" s="3">
        <v>5</v>
      </c>
    </row>
    <row r="69" spans="1:5">
      <c r="A69" s="2" t="s">
        <v>270</v>
      </c>
      <c r="B69" s="2" t="s">
        <v>252</v>
      </c>
      <c r="C69" s="2">
        <v>114013</v>
      </c>
      <c r="D69" s="2" t="s">
        <v>271</v>
      </c>
      <c r="E69" s="3">
        <v>6</v>
      </c>
    </row>
    <row r="70" spans="1:5">
      <c r="A70" s="2" t="s">
        <v>272</v>
      </c>
      <c r="B70" s="2" t="s">
        <v>252</v>
      </c>
      <c r="C70" s="2">
        <v>2</v>
      </c>
      <c r="D70" s="2" t="s">
        <v>180</v>
      </c>
      <c r="E70" s="3">
        <v>200000</v>
      </c>
    </row>
    <row r="71" spans="1:5">
      <c r="A71" s="2" t="s">
        <v>273</v>
      </c>
      <c r="B71" s="2" t="s">
        <v>252</v>
      </c>
      <c r="C71" s="2">
        <v>110233</v>
      </c>
      <c r="D71" s="2" t="s">
        <v>269</v>
      </c>
      <c r="E71" s="3">
        <v>10</v>
      </c>
    </row>
    <row r="72" spans="1:5">
      <c r="A72" s="2" t="s">
        <v>274</v>
      </c>
      <c r="B72" s="2" t="s">
        <v>252</v>
      </c>
      <c r="C72" s="2">
        <v>114013</v>
      </c>
      <c r="D72" s="2" t="s">
        <v>271</v>
      </c>
      <c r="E72" s="3">
        <v>8</v>
      </c>
    </row>
    <row r="73" spans="1:5">
      <c r="A73" s="2" t="s">
        <v>275</v>
      </c>
      <c r="B73" s="2" t="s">
        <v>276</v>
      </c>
      <c r="C73" s="2">
        <v>2</v>
      </c>
      <c r="D73" s="2" t="s">
        <v>180</v>
      </c>
      <c r="E73" s="3">
        <v>5000</v>
      </c>
    </row>
    <row r="74" spans="1:5">
      <c r="A74" s="2" t="s">
        <v>277</v>
      </c>
      <c r="B74" s="2" t="s">
        <v>276</v>
      </c>
      <c r="C74" s="2">
        <v>114011</v>
      </c>
      <c r="D74" s="2" t="s">
        <v>254</v>
      </c>
      <c r="E74" s="3">
        <v>8</v>
      </c>
    </row>
    <row r="75" spans="1:5">
      <c r="A75" s="2" t="s">
        <v>278</v>
      </c>
      <c r="B75" s="2" t="s">
        <v>276</v>
      </c>
      <c r="C75" s="2">
        <v>2</v>
      </c>
      <c r="D75" s="2" t="s">
        <v>180</v>
      </c>
      <c r="E75" s="3">
        <v>10000</v>
      </c>
    </row>
    <row r="76" spans="1:5">
      <c r="A76" s="2" t="s">
        <v>279</v>
      </c>
      <c r="B76" s="2" t="s">
        <v>276</v>
      </c>
      <c r="C76" s="2">
        <v>110221</v>
      </c>
      <c r="D76" s="2" t="s">
        <v>280</v>
      </c>
      <c r="E76" s="3">
        <v>4</v>
      </c>
    </row>
    <row r="77" spans="1:5">
      <c r="A77" s="2" t="s">
        <v>281</v>
      </c>
      <c r="B77" s="2" t="s">
        <v>276</v>
      </c>
      <c r="C77" s="2">
        <v>114011</v>
      </c>
      <c r="D77" s="2" t="s">
        <v>254</v>
      </c>
      <c r="E77" s="3">
        <v>12</v>
      </c>
    </row>
    <row r="78" spans="1:5">
      <c r="A78" s="2" t="s">
        <v>282</v>
      </c>
      <c r="B78" s="2" t="s">
        <v>276</v>
      </c>
      <c r="C78" s="2">
        <v>2</v>
      </c>
      <c r="D78" s="2" t="s">
        <v>180</v>
      </c>
      <c r="E78" s="3">
        <v>20000</v>
      </c>
    </row>
    <row r="79" spans="1:5">
      <c r="A79" s="2" t="s">
        <v>283</v>
      </c>
      <c r="B79" s="2" t="s">
        <v>276</v>
      </c>
      <c r="C79" s="2">
        <v>110222</v>
      </c>
      <c r="D79" s="2" t="s">
        <v>284</v>
      </c>
      <c r="E79" s="3">
        <v>4</v>
      </c>
    </row>
    <row r="80" spans="1:5">
      <c r="A80" s="2" t="s">
        <v>285</v>
      </c>
      <c r="B80" s="2" t="s">
        <v>276</v>
      </c>
      <c r="C80" s="2">
        <v>114012</v>
      </c>
      <c r="D80" s="2" t="s">
        <v>263</v>
      </c>
      <c r="E80" s="3">
        <v>8</v>
      </c>
    </row>
    <row r="81" spans="1:5">
      <c r="A81" s="2" t="s">
        <v>286</v>
      </c>
      <c r="B81" s="2" t="s">
        <v>276</v>
      </c>
      <c r="C81" s="2">
        <v>2</v>
      </c>
      <c r="D81" s="2" t="s">
        <v>180</v>
      </c>
      <c r="E81" s="3">
        <v>50000</v>
      </c>
    </row>
    <row r="82" spans="1:5">
      <c r="A82" s="2" t="s">
        <v>287</v>
      </c>
      <c r="B82" s="2" t="s">
        <v>276</v>
      </c>
      <c r="C82" s="2">
        <v>110222</v>
      </c>
      <c r="D82" s="2" t="s">
        <v>284</v>
      </c>
      <c r="E82" s="3">
        <v>8</v>
      </c>
    </row>
    <row r="83" spans="1:5">
      <c r="A83" s="2" t="s">
        <v>288</v>
      </c>
      <c r="B83" s="2" t="s">
        <v>276</v>
      </c>
      <c r="C83" s="2">
        <v>114012</v>
      </c>
      <c r="D83" s="2" t="s">
        <v>263</v>
      </c>
      <c r="E83" s="3">
        <v>12</v>
      </c>
    </row>
    <row r="84" spans="1:5">
      <c r="A84" s="2" t="s">
        <v>289</v>
      </c>
      <c r="B84" s="2" t="s">
        <v>276</v>
      </c>
      <c r="C84" s="2">
        <v>2</v>
      </c>
      <c r="D84" s="2" t="s">
        <v>180</v>
      </c>
      <c r="E84" s="3">
        <v>100000</v>
      </c>
    </row>
    <row r="85" spans="1:5">
      <c r="A85" s="2" t="s">
        <v>290</v>
      </c>
      <c r="B85" s="2" t="s">
        <v>276</v>
      </c>
      <c r="C85" s="2">
        <v>110223</v>
      </c>
      <c r="D85" s="2" t="s">
        <v>291</v>
      </c>
      <c r="E85" s="3">
        <v>5</v>
      </c>
    </row>
    <row r="86" spans="1:5">
      <c r="A86" s="2" t="s">
        <v>292</v>
      </c>
      <c r="B86" s="2" t="s">
        <v>276</v>
      </c>
      <c r="C86" s="2">
        <v>114013</v>
      </c>
      <c r="D86" s="2" t="s">
        <v>271</v>
      </c>
      <c r="E86" s="3">
        <v>6</v>
      </c>
    </row>
    <row r="87" spans="1:5">
      <c r="A87" s="2" t="s">
        <v>293</v>
      </c>
      <c r="B87" s="2" t="s">
        <v>276</v>
      </c>
      <c r="C87" s="2">
        <v>2</v>
      </c>
      <c r="D87" s="2" t="s">
        <v>180</v>
      </c>
      <c r="E87" s="3">
        <v>200000</v>
      </c>
    </row>
    <row r="88" spans="1:5">
      <c r="A88" s="2" t="s">
        <v>294</v>
      </c>
      <c r="B88" s="2" t="s">
        <v>276</v>
      </c>
      <c r="C88" s="2">
        <v>110223</v>
      </c>
      <c r="D88" s="2" t="s">
        <v>291</v>
      </c>
      <c r="E88" s="3">
        <v>10</v>
      </c>
    </row>
    <row r="89" spans="1:5">
      <c r="A89" s="2" t="s">
        <v>295</v>
      </c>
      <c r="B89" s="2" t="s">
        <v>276</v>
      </c>
      <c r="C89" s="2">
        <v>114013</v>
      </c>
      <c r="D89" s="2" t="s">
        <v>271</v>
      </c>
      <c r="E89" s="3">
        <v>8</v>
      </c>
    </row>
    <row r="90" spans="1:5">
      <c r="A90" s="2" t="s">
        <v>296</v>
      </c>
      <c r="B90" s="2" t="s">
        <v>297</v>
      </c>
      <c r="C90" s="2">
        <v>2</v>
      </c>
      <c r="D90" s="2" t="s">
        <v>180</v>
      </c>
      <c r="E90" s="3">
        <v>5000</v>
      </c>
    </row>
    <row r="91" spans="1:5">
      <c r="A91" s="2" t="s">
        <v>298</v>
      </c>
      <c r="B91" s="2" t="s">
        <v>297</v>
      </c>
      <c r="C91" s="2">
        <v>115001</v>
      </c>
      <c r="D91" s="2" t="s">
        <v>182</v>
      </c>
      <c r="E91" s="3">
        <v>8</v>
      </c>
    </row>
    <row r="92" spans="1:5">
      <c r="A92" s="2" t="s">
        <v>299</v>
      </c>
      <c r="B92" s="2" t="s">
        <v>297</v>
      </c>
      <c r="C92" s="2">
        <v>2</v>
      </c>
      <c r="D92" s="2" t="s">
        <v>180</v>
      </c>
      <c r="E92" s="3">
        <v>10000</v>
      </c>
    </row>
    <row r="93" spans="1:5">
      <c r="A93" s="2" t="s">
        <v>300</v>
      </c>
      <c r="B93" s="2" t="s">
        <v>297</v>
      </c>
      <c r="C93" s="2">
        <v>110211</v>
      </c>
      <c r="D93" s="2" t="s">
        <v>301</v>
      </c>
      <c r="E93" s="3">
        <v>4</v>
      </c>
    </row>
    <row r="94" spans="1:5">
      <c r="A94" s="2" t="s">
        <v>302</v>
      </c>
      <c r="B94" s="2" t="s">
        <v>297</v>
      </c>
      <c r="C94" s="2">
        <v>115001</v>
      </c>
      <c r="D94" s="2" t="s">
        <v>182</v>
      </c>
      <c r="E94" s="3">
        <v>12</v>
      </c>
    </row>
    <row r="95" spans="1:5">
      <c r="A95" s="2" t="s">
        <v>303</v>
      </c>
      <c r="B95" s="2" t="s">
        <v>297</v>
      </c>
      <c r="C95" s="2">
        <v>2</v>
      </c>
      <c r="D95" s="2" t="s">
        <v>180</v>
      </c>
      <c r="E95" s="3">
        <v>20000</v>
      </c>
    </row>
    <row r="96" spans="1:5">
      <c r="A96" s="2" t="s">
        <v>304</v>
      </c>
      <c r="B96" s="2" t="s">
        <v>297</v>
      </c>
      <c r="C96" s="2">
        <v>110212</v>
      </c>
      <c r="D96" s="2" t="s">
        <v>305</v>
      </c>
      <c r="E96" s="3">
        <v>4</v>
      </c>
    </row>
    <row r="97" spans="1:5">
      <c r="A97" s="2" t="s">
        <v>306</v>
      </c>
      <c r="B97" s="2" t="s">
        <v>297</v>
      </c>
      <c r="C97" s="2">
        <v>115002</v>
      </c>
      <c r="D97" s="2" t="s">
        <v>191</v>
      </c>
      <c r="E97" s="3">
        <v>8</v>
      </c>
    </row>
    <row r="98" spans="1:5">
      <c r="A98" s="2" t="s">
        <v>307</v>
      </c>
      <c r="B98" s="2" t="s">
        <v>297</v>
      </c>
      <c r="C98" s="2">
        <v>2</v>
      </c>
      <c r="D98" s="2" t="s">
        <v>180</v>
      </c>
      <c r="E98" s="3">
        <v>50000</v>
      </c>
    </row>
    <row r="99" spans="1:5">
      <c r="A99" s="2" t="s">
        <v>308</v>
      </c>
      <c r="B99" s="2" t="s">
        <v>297</v>
      </c>
      <c r="C99" s="2">
        <v>110212</v>
      </c>
      <c r="D99" s="2" t="s">
        <v>305</v>
      </c>
      <c r="E99" s="3">
        <v>8</v>
      </c>
    </row>
    <row r="100" spans="1:5">
      <c r="A100" s="2" t="s">
        <v>309</v>
      </c>
      <c r="B100" s="2" t="s">
        <v>297</v>
      </c>
      <c r="C100" s="2">
        <v>115002</v>
      </c>
      <c r="D100" s="2" t="s">
        <v>191</v>
      </c>
      <c r="E100" s="3">
        <v>12</v>
      </c>
    </row>
    <row r="101" spans="1:5">
      <c r="A101" s="2" t="s">
        <v>310</v>
      </c>
      <c r="B101" s="2" t="s">
        <v>297</v>
      </c>
      <c r="C101" s="2">
        <v>2</v>
      </c>
      <c r="D101" s="2" t="s">
        <v>180</v>
      </c>
      <c r="E101" s="3">
        <v>100000</v>
      </c>
    </row>
    <row r="102" spans="1:5">
      <c r="A102" s="2" t="s">
        <v>311</v>
      </c>
      <c r="B102" s="2" t="s">
        <v>297</v>
      </c>
      <c r="C102" s="2">
        <v>110213</v>
      </c>
      <c r="D102" s="2" t="s">
        <v>312</v>
      </c>
      <c r="E102" s="3">
        <v>5</v>
      </c>
    </row>
    <row r="103" spans="1:5">
      <c r="A103" s="2" t="s">
        <v>313</v>
      </c>
      <c r="B103" s="2" t="s">
        <v>297</v>
      </c>
      <c r="C103" s="2">
        <v>115003</v>
      </c>
      <c r="D103" s="2" t="s">
        <v>199</v>
      </c>
      <c r="E103" s="3">
        <v>6</v>
      </c>
    </row>
    <row r="104" spans="1:5">
      <c r="A104" s="2" t="s">
        <v>314</v>
      </c>
      <c r="B104" s="2" t="s">
        <v>297</v>
      </c>
      <c r="C104" s="2">
        <v>2</v>
      </c>
      <c r="D104" s="2" t="s">
        <v>180</v>
      </c>
      <c r="E104" s="3">
        <v>200000</v>
      </c>
    </row>
    <row r="105" spans="1:5">
      <c r="A105" s="2" t="s">
        <v>315</v>
      </c>
      <c r="B105" s="2" t="s">
        <v>297</v>
      </c>
      <c r="C105" s="2">
        <v>110213</v>
      </c>
      <c r="D105" s="2" t="s">
        <v>312</v>
      </c>
      <c r="E105" s="3">
        <v>10</v>
      </c>
    </row>
    <row r="106" spans="1:5">
      <c r="A106" s="2" t="s">
        <v>316</v>
      </c>
      <c r="B106" s="2" t="s">
        <v>297</v>
      </c>
      <c r="C106" s="2">
        <v>115003</v>
      </c>
      <c r="D106" s="2" t="s">
        <v>199</v>
      </c>
      <c r="E106" s="3">
        <v>8</v>
      </c>
    </row>
    <row r="107" spans="1:5">
      <c r="A107" s="2" t="s">
        <v>317</v>
      </c>
      <c r="B107" s="2" t="s">
        <v>318</v>
      </c>
      <c r="C107" s="2">
        <v>2</v>
      </c>
      <c r="D107" s="2" t="s">
        <v>180</v>
      </c>
      <c r="E107" s="3">
        <v>5000</v>
      </c>
    </row>
    <row r="108" spans="1:5">
      <c r="A108" s="2" t="s">
        <v>319</v>
      </c>
      <c r="B108" s="2" t="s">
        <v>318</v>
      </c>
      <c r="C108" s="2">
        <v>113001</v>
      </c>
      <c r="D108" s="2" t="s">
        <v>320</v>
      </c>
      <c r="E108" s="3">
        <v>8</v>
      </c>
    </row>
    <row r="109" spans="1:5">
      <c r="A109" s="2" t="s">
        <v>321</v>
      </c>
      <c r="B109" s="2" t="s">
        <v>318</v>
      </c>
      <c r="C109" s="2">
        <v>2</v>
      </c>
      <c r="D109" s="2" t="s">
        <v>180</v>
      </c>
      <c r="E109" s="3">
        <v>10000</v>
      </c>
    </row>
    <row r="110" spans="1:5">
      <c r="A110" s="2" t="s">
        <v>322</v>
      </c>
      <c r="B110" s="2" t="s">
        <v>318</v>
      </c>
      <c r="C110" s="2">
        <v>110241</v>
      </c>
      <c r="D110" s="2" t="s">
        <v>323</v>
      </c>
      <c r="E110" s="3">
        <v>4</v>
      </c>
    </row>
    <row r="111" spans="1:5">
      <c r="A111" s="2" t="s">
        <v>324</v>
      </c>
      <c r="B111" s="2" t="s">
        <v>318</v>
      </c>
      <c r="C111" s="2">
        <v>113001</v>
      </c>
      <c r="D111" s="2" t="s">
        <v>320</v>
      </c>
      <c r="E111" s="3">
        <v>12</v>
      </c>
    </row>
    <row r="112" spans="1:5">
      <c r="A112" s="2" t="s">
        <v>325</v>
      </c>
      <c r="B112" s="2" t="s">
        <v>318</v>
      </c>
      <c r="C112" s="2">
        <v>2</v>
      </c>
      <c r="D112" s="2" t="s">
        <v>180</v>
      </c>
      <c r="E112" s="3">
        <v>20000</v>
      </c>
    </row>
    <row r="113" spans="1:5">
      <c r="A113" s="2" t="s">
        <v>326</v>
      </c>
      <c r="B113" s="2" t="s">
        <v>318</v>
      </c>
      <c r="C113" s="2">
        <v>110242</v>
      </c>
      <c r="D113" s="2" t="s">
        <v>327</v>
      </c>
      <c r="E113" s="3">
        <v>4</v>
      </c>
    </row>
    <row r="114" spans="1:5">
      <c r="A114" s="2" t="s">
        <v>328</v>
      </c>
      <c r="B114" s="2" t="s">
        <v>318</v>
      </c>
      <c r="C114" s="2">
        <v>113002</v>
      </c>
      <c r="D114" s="2" t="s">
        <v>329</v>
      </c>
      <c r="E114" s="3">
        <v>8</v>
      </c>
    </row>
    <row r="115" spans="1:5">
      <c r="A115" s="2" t="s">
        <v>330</v>
      </c>
      <c r="B115" s="2" t="s">
        <v>318</v>
      </c>
      <c r="C115" s="2">
        <v>2</v>
      </c>
      <c r="D115" s="2" t="s">
        <v>180</v>
      </c>
      <c r="E115" s="3">
        <v>50000</v>
      </c>
    </row>
    <row r="116" spans="1:5">
      <c r="A116" s="2" t="s">
        <v>331</v>
      </c>
      <c r="B116" s="2" t="s">
        <v>318</v>
      </c>
      <c r="C116" s="2">
        <v>110242</v>
      </c>
      <c r="D116" s="2" t="s">
        <v>327</v>
      </c>
      <c r="E116" s="3">
        <v>8</v>
      </c>
    </row>
    <row r="117" spans="1:5">
      <c r="A117" s="2" t="s">
        <v>332</v>
      </c>
      <c r="B117" s="2" t="s">
        <v>318</v>
      </c>
      <c r="C117" s="2">
        <v>113002</v>
      </c>
      <c r="D117" s="2" t="s">
        <v>329</v>
      </c>
      <c r="E117" s="3">
        <v>12</v>
      </c>
    </row>
    <row r="118" spans="1:5">
      <c r="A118" s="2" t="s">
        <v>333</v>
      </c>
      <c r="B118" s="2" t="s">
        <v>318</v>
      </c>
      <c r="C118" s="2">
        <v>2</v>
      </c>
      <c r="D118" s="2" t="s">
        <v>180</v>
      </c>
      <c r="E118" s="3">
        <v>100000</v>
      </c>
    </row>
    <row r="119" spans="1:5">
      <c r="A119" s="2" t="s">
        <v>334</v>
      </c>
      <c r="B119" s="2" t="s">
        <v>318</v>
      </c>
      <c r="C119" s="2">
        <v>110243</v>
      </c>
      <c r="D119" s="2" t="s">
        <v>335</v>
      </c>
      <c r="E119" s="3">
        <v>5</v>
      </c>
    </row>
    <row r="120" spans="1:5">
      <c r="A120" s="2" t="s">
        <v>336</v>
      </c>
      <c r="B120" s="2" t="s">
        <v>318</v>
      </c>
      <c r="C120" s="2">
        <v>113003</v>
      </c>
      <c r="D120" s="2" t="s">
        <v>337</v>
      </c>
      <c r="E120" s="3">
        <v>6</v>
      </c>
    </row>
    <row r="121" spans="1:5">
      <c r="A121" s="2" t="s">
        <v>338</v>
      </c>
      <c r="B121" s="2" t="s">
        <v>318</v>
      </c>
      <c r="C121" s="2">
        <v>2</v>
      </c>
      <c r="D121" s="2" t="s">
        <v>180</v>
      </c>
      <c r="E121" s="3">
        <v>200000</v>
      </c>
    </row>
    <row r="122" spans="1:5">
      <c r="A122" s="2" t="s">
        <v>339</v>
      </c>
      <c r="B122" s="2" t="s">
        <v>318</v>
      </c>
      <c r="C122" s="2">
        <v>110243</v>
      </c>
      <c r="D122" s="2" t="s">
        <v>335</v>
      </c>
      <c r="E122" s="3">
        <v>10</v>
      </c>
    </row>
    <row r="123" spans="1:5">
      <c r="A123" s="2" t="s">
        <v>340</v>
      </c>
      <c r="B123" s="2" t="s">
        <v>318</v>
      </c>
      <c r="C123" s="2">
        <v>113003</v>
      </c>
      <c r="D123" s="2" t="s">
        <v>337</v>
      </c>
      <c r="E123" s="3">
        <v>8</v>
      </c>
    </row>
    <row r="124" spans="1:5">
      <c r="A124" s="2" t="s">
        <v>341</v>
      </c>
      <c r="B124" s="2" t="s">
        <v>342</v>
      </c>
      <c r="C124" s="2">
        <v>2</v>
      </c>
      <c r="D124" s="2" t="s">
        <v>180</v>
      </c>
      <c r="E124" s="3">
        <v>5000</v>
      </c>
    </row>
    <row r="125" spans="1:5">
      <c r="A125" s="2" t="s">
        <v>343</v>
      </c>
      <c r="B125" s="2" t="s">
        <v>342</v>
      </c>
      <c r="C125" s="2">
        <v>115001</v>
      </c>
      <c r="D125" s="2" t="s">
        <v>182</v>
      </c>
      <c r="E125" s="3">
        <v>8</v>
      </c>
    </row>
    <row r="126" spans="1:5">
      <c r="A126" s="2" t="s">
        <v>344</v>
      </c>
      <c r="B126" s="2" t="s">
        <v>342</v>
      </c>
      <c r="C126" s="2">
        <v>2</v>
      </c>
      <c r="D126" s="2" t="s">
        <v>180</v>
      </c>
      <c r="E126" s="3">
        <v>10000</v>
      </c>
    </row>
    <row r="127" spans="1:5">
      <c r="A127" s="2" t="s">
        <v>345</v>
      </c>
      <c r="B127" s="2" t="s">
        <v>342</v>
      </c>
      <c r="C127" s="2">
        <v>110251</v>
      </c>
      <c r="D127" s="2" t="s">
        <v>346</v>
      </c>
      <c r="E127" s="3">
        <v>4</v>
      </c>
    </row>
    <row r="128" spans="1:5">
      <c r="A128" s="2" t="s">
        <v>347</v>
      </c>
      <c r="B128" s="2" t="s">
        <v>342</v>
      </c>
      <c r="C128" s="2">
        <v>115001</v>
      </c>
      <c r="D128" s="2" t="s">
        <v>182</v>
      </c>
      <c r="E128" s="3">
        <v>12</v>
      </c>
    </row>
    <row r="129" spans="1:5">
      <c r="A129" s="2" t="s">
        <v>348</v>
      </c>
      <c r="B129" s="2" t="s">
        <v>342</v>
      </c>
      <c r="C129" s="2">
        <v>2</v>
      </c>
      <c r="D129" s="2" t="s">
        <v>180</v>
      </c>
      <c r="E129" s="3">
        <v>20000</v>
      </c>
    </row>
    <row r="130" spans="1:5">
      <c r="A130" s="2" t="s">
        <v>349</v>
      </c>
      <c r="B130" s="2" t="s">
        <v>342</v>
      </c>
      <c r="C130" s="2">
        <v>110252</v>
      </c>
      <c r="D130" s="2" t="s">
        <v>350</v>
      </c>
      <c r="E130" s="3">
        <v>4</v>
      </c>
    </row>
    <row r="131" spans="1:5">
      <c r="A131" s="2" t="s">
        <v>351</v>
      </c>
      <c r="B131" s="2" t="s">
        <v>342</v>
      </c>
      <c r="C131" s="2">
        <v>115002</v>
      </c>
      <c r="D131" s="2" t="s">
        <v>191</v>
      </c>
      <c r="E131" s="3">
        <v>8</v>
      </c>
    </row>
    <row r="132" spans="1:5">
      <c r="A132" s="2" t="s">
        <v>352</v>
      </c>
      <c r="B132" s="2" t="s">
        <v>342</v>
      </c>
      <c r="C132" s="2">
        <v>2</v>
      </c>
      <c r="D132" s="2" t="s">
        <v>180</v>
      </c>
      <c r="E132" s="3">
        <v>50000</v>
      </c>
    </row>
    <row r="133" spans="1:5">
      <c r="A133" s="2" t="s">
        <v>353</v>
      </c>
      <c r="B133" s="2" t="s">
        <v>342</v>
      </c>
      <c r="C133" s="2">
        <v>110252</v>
      </c>
      <c r="D133" s="2" t="s">
        <v>350</v>
      </c>
      <c r="E133" s="3">
        <v>8</v>
      </c>
    </row>
    <row r="134" spans="1:5">
      <c r="A134" s="2" t="s">
        <v>354</v>
      </c>
      <c r="B134" s="2" t="s">
        <v>342</v>
      </c>
      <c r="C134" s="2">
        <v>115002</v>
      </c>
      <c r="D134" s="2" t="s">
        <v>191</v>
      </c>
      <c r="E134" s="3">
        <v>12</v>
      </c>
    </row>
    <row r="135" spans="1:5">
      <c r="A135" s="2" t="s">
        <v>355</v>
      </c>
      <c r="B135" s="2" t="s">
        <v>342</v>
      </c>
      <c r="C135" s="2">
        <v>2</v>
      </c>
      <c r="D135" s="2" t="s">
        <v>180</v>
      </c>
      <c r="E135" s="3">
        <v>100000</v>
      </c>
    </row>
    <row r="136" spans="1:5">
      <c r="A136" s="2" t="s">
        <v>356</v>
      </c>
      <c r="B136" s="2" t="s">
        <v>342</v>
      </c>
      <c r="C136" s="2">
        <v>110253</v>
      </c>
      <c r="D136" s="2" t="s">
        <v>357</v>
      </c>
      <c r="E136" s="3">
        <v>5</v>
      </c>
    </row>
    <row r="137" spans="1:5">
      <c r="A137" s="2" t="s">
        <v>358</v>
      </c>
      <c r="B137" s="2" t="s">
        <v>342</v>
      </c>
      <c r="C137" s="2">
        <v>115003</v>
      </c>
      <c r="D137" s="2" t="s">
        <v>199</v>
      </c>
      <c r="E137" s="3">
        <v>6</v>
      </c>
    </row>
    <row r="138" spans="1:5">
      <c r="A138" s="2" t="s">
        <v>359</v>
      </c>
      <c r="B138" s="2" t="s">
        <v>342</v>
      </c>
      <c r="C138" s="2">
        <v>2</v>
      </c>
      <c r="D138" s="2" t="s">
        <v>180</v>
      </c>
      <c r="E138" s="3">
        <v>200000</v>
      </c>
    </row>
    <row r="139" spans="1:5">
      <c r="A139" s="2" t="s">
        <v>360</v>
      </c>
      <c r="B139" s="2" t="s">
        <v>342</v>
      </c>
      <c r="C139" s="2">
        <v>110253</v>
      </c>
      <c r="D139" s="2" t="s">
        <v>357</v>
      </c>
      <c r="E139" s="3">
        <v>10</v>
      </c>
    </row>
    <row r="140" spans="1:5">
      <c r="A140" s="2" t="s">
        <v>361</v>
      </c>
      <c r="B140" s="2" t="s">
        <v>342</v>
      </c>
      <c r="C140" s="2">
        <v>115003</v>
      </c>
      <c r="D140" s="2" t="s">
        <v>199</v>
      </c>
      <c r="E140" s="3">
        <v>8</v>
      </c>
    </row>
    <row r="141" spans="1:5">
      <c r="A141" s="2" t="s">
        <v>362</v>
      </c>
      <c r="B141" s="2" t="s">
        <v>363</v>
      </c>
      <c r="C141" s="2">
        <v>2</v>
      </c>
      <c r="D141" s="2" t="s">
        <v>180</v>
      </c>
      <c r="E141" s="3">
        <v>5000</v>
      </c>
    </row>
    <row r="142" spans="1:5">
      <c r="A142" s="2" t="s">
        <v>364</v>
      </c>
      <c r="B142" s="2" t="s">
        <v>363</v>
      </c>
      <c r="C142" s="2">
        <v>116001</v>
      </c>
      <c r="D142" s="2" t="s">
        <v>230</v>
      </c>
      <c r="E142" s="3">
        <v>8</v>
      </c>
    </row>
    <row r="143" spans="1:5">
      <c r="A143" s="2" t="s">
        <v>365</v>
      </c>
      <c r="B143" s="2" t="s">
        <v>363</v>
      </c>
      <c r="C143" s="2">
        <v>2</v>
      </c>
      <c r="D143" s="2" t="s">
        <v>180</v>
      </c>
      <c r="E143" s="3">
        <v>10000</v>
      </c>
    </row>
    <row r="144" spans="1:5">
      <c r="A144" s="2" t="s">
        <v>366</v>
      </c>
      <c r="B144" s="2" t="s">
        <v>363</v>
      </c>
      <c r="C144" s="2">
        <v>110261</v>
      </c>
      <c r="D144" s="2" t="s">
        <v>367</v>
      </c>
      <c r="E144" s="3">
        <v>4</v>
      </c>
    </row>
    <row r="145" spans="1:5">
      <c r="A145" s="2" t="s">
        <v>368</v>
      </c>
      <c r="B145" s="2" t="s">
        <v>363</v>
      </c>
      <c r="C145" s="2">
        <v>116001</v>
      </c>
      <c r="D145" s="2" t="s">
        <v>230</v>
      </c>
      <c r="E145" s="3">
        <v>12</v>
      </c>
    </row>
    <row r="146" spans="1:5">
      <c r="A146" s="2" t="s">
        <v>369</v>
      </c>
      <c r="B146" s="2" t="s">
        <v>363</v>
      </c>
      <c r="C146" s="2">
        <v>2</v>
      </c>
      <c r="D146" s="2" t="s">
        <v>180</v>
      </c>
      <c r="E146" s="3">
        <v>20000</v>
      </c>
    </row>
    <row r="147" spans="1:5">
      <c r="A147" s="2" t="s">
        <v>370</v>
      </c>
      <c r="B147" s="2" t="s">
        <v>363</v>
      </c>
      <c r="C147" s="2">
        <v>110262</v>
      </c>
      <c r="D147" s="2" t="s">
        <v>371</v>
      </c>
      <c r="E147" s="3">
        <v>4</v>
      </c>
    </row>
    <row r="148" spans="1:5">
      <c r="A148" s="2" t="s">
        <v>372</v>
      </c>
      <c r="B148" s="2" t="s">
        <v>363</v>
      </c>
      <c r="C148" s="2">
        <v>116002</v>
      </c>
      <c r="D148" s="2" t="s">
        <v>239</v>
      </c>
      <c r="E148" s="3">
        <v>8</v>
      </c>
    </row>
    <row r="149" spans="1:5">
      <c r="A149" s="2" t="s">
        <v>373</v>
      </c>
      <c r="B149" s="2" t="s">
        <v>363</v>
      </c>
      <c r="C149" s="2">
        <v>2</v>
      </c>
      <c r="D149" s="2" t="s">
        <v>180</v>
      </c>
      <c r="E149" s="3">
        <v>50000</v>
      </c>
    </row>
    <row r="150" spans="1:5">
      <c r="A150" s="2" t="s">
        <v>374</v>
      </c>
      <c r="B150" s="2" t="s">
        <v>363</v>
      </c>
      <c r="C150" s="2">
        <v>110262</v>
      </c>
      <c r="D150" s="2" t="s">
        <v>371</v>
      </c>
      <c r="E150" s="3">
        <v>8</v>
      </c>
    </row>
    <row r="151" spans="1:5">
      <c r="A151" s="2" t="s">
        <v>375</v>
      </c>
      <c r="B151" s="2" t="s">
        <v>363</v>
      </c>
      <c r="C151" s="2">
        <v>116002</v>
      </c>
      <c r="D151" s="2" t="s">
        <v>239</v>
      </c>
      <c r="E151" s="3">
        <v>12</v>
      </c>
    </row>
    <row r="152" spans="1:5">
      <c r="A152" s="2" t="s">
        <v>376</v>
      </c>
      <c r="B152" s="2" t="s">
        <v>363</v>
      </c>
      <c r="C152" s="2">
        <v>2</v>
      </c>
      <c r="D152" s="2" t="s">
        <v>180</v>
      </c>
      <c r="E152" s="3">
        <v>100000</v>
      </c>
    </row>
    <row r="153" spans="1:5">
      <c r="A153" s="2" t="s">
        <v>377</v>
      </c>
      <c r="B153" s="2" t="s">
        <v>363</v>
      </c>
      <c r="C153" s="2">
        <v>110263</v>
      </c>
      <c r="D153" s="2" t="s">
        <v>378</v>
      </c>
      <c r="E153" s="3">
        <v>5</v>
      </c>
    </row>
    <row r="154" spans="1:5">
      <c r="A154" s="2" t="s">
        <v>379</v>
      </c>
      <c r="B154" s="2" t="s">
        <v>363</v>
      </c>
      <c r="C154" s="2">
        <v>116003</v>
      </c>
      <c r="D154" s="2" t="s">
        <v>247</v>
      </c>
      <c r="E154" s="3">
        <v>6</v>
      </c>
    </row>
    <row r="155" spans="1:5">
      <c r="A155" s="2" t="s">
        <v>380</v>
      </c>
      <c r="B155" s="2" t="s">
        <v>363</v>
      </c>
      <c r="C155" s="2">
        <v>2</v>
      </c>
      <c r="D155" s="2" t="s">
        <v>180</v>
      </c>
      <c r="E155" s="3">
        <v>200000</v>
      </c>
    </row>
    <row r="156" spans="1:5">
      <c r="A156" s="2" t="s">
        <v>381</v>
      </c>
      <c r="B156" s="2" t="s">
        <v>363</v>
      </c>
      <c r="C156" s="2">
        <v>110263</v>
      </c>
      <c r="D156" s="2" t="s">
        <v>378</v>
      </c>
      <c r="E156" s="3">
        <v>10</v>
      </c>
    </row>
    <row r="157" spans="1:5">
      <c r="A157" s="2" t="s">
        <v>382</v>
      </c>
      <c r="B157" s="2" t="s">
        <v>363</v>
      </c>
      <c r="C157" s="2">
        <v>116003</v>
      </c>
      <c r="D157" s="2" t="s">
        <v>247</v>
      </c>
      <c r="E157" s="3">
        <v>8</v>
      </c>
    </row>
    <row r="158" spans="1:5">
      <c r="A158" s="2" t="s">
        <v>383</v>
      </c>
      <c r="B158" s="2" t="s">
        <v>384</v>
      </c>
      <c r="C158" s="2">
        <v>2</v>
      </c>
      <c r="D158" s="2" t="s">
        <v>180</v>
      </c>
      <c r="E158" s="3">
        <v>5000</v>
      </c>
    </row>
    <row r="159" spans="1:5">
      <c r="A159" s="2" t="s">
        <v>385</v>
      </c>
      <c r="B159" s="2" t="s">
        <v>384</v>
      </c>
      <c r="C159" s="2">
        <v>115001</v>
      </c>
      <c r="D159" s="2" t="s">
        <v>182</v>
      </c>
      <c r="E159" s="3">
        <v>8</v>
      </c>
    </row>
    <row r="160" spans="1:5">
      <c r="A160" s="2" t="s">
        <v>386</v>
      </c>
      <c r="B160" s="2" t="s">
        <v>384</v>
      </c>
      <c r="C160" s="2">
        <v>2</v>
      </c>
      <c r="D160" s="2" t="s">
        <v>180</v>
      </c>
      <c r="E160" s="3">
        <v>10000</v>
      </c>
    </row>
    <row r="161" spans="1:5">
      <c r="A161" s="2" t="s">
        <v>387</v>
      </c>
      <c r="B161" s="2" t="s">
        <v>384</v>
      </c>
      <c r="C161" s="2">
        <v>110251</v>
      </c>
      <c r="D161" s="2" t="s">
        <v>346</v>
      </c>
      <c r="E161" s="3">
        <v>4</v>
      </c>
    </row>
    <row r="162" spans="1:5">
      <c r="A162" s="2" t="s">
        <v>388</v>
      </c>
      <c r="B162" s="2" t="s">
        <v>384</v>
      </c>
      <c r="C162" s="2">
        <v>115001</v>
      </c>
      <c r="D162" s="2" t="s">
        <v>182</v>
      </c>
      <c r="E162" s="3">
        <v>12</v>
      </c>
    </row>
    <row r="163" spans="1:5">
      <c r="A163" s="2" t="s">
        <v>389</v>
      </c>
      <c r="B163" s="2" t="s">
        <v>384</v>
      </c>
      <c r="C163" s="2">
        <v>2</v>
      </c>
      <c r="D163" s="2" t="s">
        <v>180</v>
      </c>
      <c r="E163" s="3">
        <v>20000</v>
      </c>
    </row>
    <row r="164" spans="1:5">
      <c r="A164" s="2" t="s">
        <v>390</v>
      </c>
      <c r="B164" s="2" t="s">
        <v>384</v>
      </c>
      <c r="C164" s="2">
        <v>110252</v>
      </c>
      <c r="D164" s="2" t="s">
        <v>350</v>
      </c>
      <c r="E164" s="3">
        <v>4</v>
      </c>
    </row>
    <row r="165" spans="1:5">
      <c r="A165" s="2" t="s">
        <v>391</v>
      </c>
      <c r="B165" s="2" t="s">
        <v>384</v>
      </c>
      <c r="C165" s="2">
        <v>115002</v>
      </c>
      <c r="D165" s="2" t="s">
        <v>191</v>
      </c>
      <c r="E165" s="3">
        <v>8</v>
      </c>
    </row>
    <row r="166" spans="1:5">
      <c r="A166" s="2" t="s">
        <v>392</v>
      </c>
      <c r="B166" s="2" t="s">
        <v>384</v>
      </c>
      <c r="C166" s="2">
        <v>2</v>
      </c>
      <c r="D166" s="2" t="s">
        <v>180</v>
      </c>
      <c r="E166" s="3">
        <v>50000</v>
      </c>
    </row>
    <row r="167" spans="1:5">
      <c r="A167" s="2" t="s">
        <v>393</v>
      </c>
      <c r="B167" s="2" t="s">
        <v>384</v>
      </c>
      <c r="C167" s="2">
        <v>110252</v>
      </c>
      <c r="D167" s="2" t="s">
        <v>350</v>
      </c>
      <c r="E167" s="3">
        <v>8</v>
      </c>
    </row>
    <row r="168" spans="1:5">
      <c r="A168" s="2" t="s">
        <v>394</v>
      </c>
      <c r="B168" s="2" t="s">
        <v>384</v>
      </c>
      <c r="C168" s="2">
        <v>115002</v>
      </c>
      <c r="D168" s="2" t="s">
        <v>191</v>
      </c>
      <c r="E168" s="3">
        <v>12</v>
      </c>
    </row>
    <row r="169" spans="1:5">
      <c r="A169" s="2" t="s">
        <v>395</v>
      </c>
      <c r="B169" s="2" t="s">
        <v>384</v>
      </c>
      <c r="C169" s="2">
        <v>2</v>
      </c>
      <c r="D169" s="2" t="s">
        <v>180</v>
      </c>
      <c r="E169" s="3">
        <v>100000</v>
      </c>
    </row>
    <row r="170" spans="1:5">
      <c r="A170" s="2" t="s">
        <v>396</v>
      </c>
      <c r="B170" s="2" t="s">
        <v>384</v>
      </c>
      <c r="C170" s="2">
        <v>110253</v>
      </c>
      <c r="D170" s="2" t="s">
        <v>357</v>
      </c>
      <c r="E170" s="3">
        <v>5</v>
      </c>
    </row>
    <row r="171" spans="1:5">
      <c r="A171" s="2" t="s">
        <v>397</v>
      </c>
      <c r="B171" s="2" t="s">
        <v>384</v>
      </c>
      <c r="C171" s="2">
        <v>115003</v>
      </c>
      <c r="D171" s="2" t="s">
        <v>199</v>
      </c>
      <c r="E171" s="3">
        <v>6</v>
      </c>
    </row>
    <row r="172" spans="1:5">
      <c r="A172" s="2" t="s">
        <v>398</v>
      </c>
      <c r="B172" s="2" t="s">
        <v>384</v>
      </c>
      <c r="C172" s="2">
        <v>2</v>
      </c>
      <c r="D172" s="2" t="s">
        <v>180</v>
      </c>
      <c r="E172" s="3">
        <v>200000</v>
      </c>
    </row>
    <row r="173" spans="1:5">
      <c r="A173" s="2" t="s">
        <v>399</v>
      </c>
      <c r="B173" s="2" t="s">
        <v>384</v>
      </c>
      <c r="C173" s="2">
        <v>110253</v>
      </c>
      <c r="D173" s="2" t="s">
        <v>357</v>
      </c>
      <c r="E173" s="3">
        <v>10</v>
      </c>
    </row>
    <row r="174" spans="1:5">
      <c r="A174" s="2" t="s">
        <v>400</v>
      </c>
      <c r="B174" s="2" t="s">
        <v>384</v>
      </c>
      <c r="C174" s="2">
        <v>115003</v>
      </c>
      <c r="D174" s="2" t="s">
        <v>199</v>
      </c>
      <c r="E174" s="3">
        <v>8</v>
      </c>
    </row>
  </sheetData>
  <mergeCells count="3">
    <mergeCell ref="A1:E1"/>
    <mergeCell ref="A2:E2"/>
    <mergeCell ref="A3:E3"/>
  </mergeCells>
  <phoneticPr fontId="6"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E14"/>
  <sheetViews>
    <sheetView showGridLines="0" workbookViewId="0"/>
  </sheetViews>
  <sheetFormatPr defaultRowHeight="14.25"/>
  <cols>
    <col min="1" max="1" width="24" customWidth="1"/>
    <col min="2" max="2" width="28" customWidth="1"/>
    <col min="3" max="3" width="120" customWidth="1"/>
    <col min="4" max="4" width="16" customWidth="1"/>
    <col min="5" max="5" width="120" customWidth="1"/>
    <col min="6" max="6" width="110" customWidth="1"/>
  </cols>
  <sheetData>
    <row r="1" spans="1:5" ht="30" customHeight="1">
      <c r="A1" s="15" t="s">
        <v>1002</v>
      </c>
      <c r="B1" s="15"/>
      <c r="C1" s="15"/>
      <c r="D1" s="15"/>
      <c r="E1" s="15"/>
    </row>
    <row r="2" spans="1:5" ht="36" customHeight="1">
      <c r="A2" s="16" t="s">
        <v>1003</v>
      </c>
      <c r="B2" s="16"/>
      <c r="C2" s="16"/>
      <c r="D2" s="16"/>
      <c r="E2" s="16"/>
    </row>
    <row r="3" spans="1:5" ht="24" customHeight="1">
      <c r="A3" s="17" t="s">
        <v>1004</v>
      </c>
      <c r="B3" s="17"/>
      <c r="C3" s="17"/>
      <c r="D3" s="17"/>
      <c r="E3" s="17"/>
    </row>
    <row r="4" spans="1:5" ht="36" customHeight="1">
      <c r="A4" s="13" t="s">
        <v>1005</v>
      </c>
      <c r="B4" s="13" t="s">
        <v>1006</v>
      </c>
      <c r="C4" s="13" t="s">
        <v>1007</v>
      </c>
      <c r="D4" s="13" t="s">
        <v>1008</v>
      </c>
      <c r="E4" s="13" t="s">
        <v>1009</v>
      </c>
    </row>
    <row r="5" spans="1:5" ht="36">
      <c r="A5" s="9" t="s">
        <v>934</v>
      </c>
      <c r="B5" s="9" t="s">
        <v>1010</v>
      </c>
      <c r="C5" s="9" t="s">
        <v>1011</v>
      </c>
      <c r="D5" s="9">
        <v>2</v>
      </c>
      <c r="E5" s="9" t="s">
        <v>1012</v>
      </c>
    </row>
    <row r="6" spans="1:5" ht="24">
      <c r="A6" s="9" t="s">
        <v>943</v>
      </c>
      <c r="B6" s="9" t="s">
        <v>1013</v>
      </c>
      <c r="C6" s="9" t="s">
        <v>1014</v>
      </c>
      <c r="D6" s="9">
        <v>4</v>
      </c>
      <c r="E6" s="9" t="s">
        <v>1015</v>
      </c>
    </row>
    <row r="7" spans="1:5" ht="24">
      <c r="A7" s="9" t="s">
        <v>950</v>
      </c>
      <c r="B7" s="9" t="s">
        <v>1016</v>
      </c>
      <c r="C7" s="9" t="s">
        <v>1017</v>
      </c>
      <c r="D7" s="9">
        <v>4</v>
      </c>
      <c r="E7" s="9" t="s">
        <v>1018</v>
      </c>
    </row>
    <row r="8" spans="1:5" ht="36">
      <c r="A8" s="9" t="s">
        <v>957</v>
      </c>
      <c r="B8" s="9" t="s">
        <v>1019</v>
      </c>
      <c r="C8" s="9" t="s">
        <v>1020</v>
      </c>
      <c r="D8" s="9">
        <v>3</v>
      </c>
      <c r="E8" s="9" t="s">
        <v>1021</v>
      </c>
    </row>
    <row r="9" spans="1:5" ht="36">
      <c r="A9" s="9" t="s">
        <v>964</v>
      </c>
      <c r="B9" s="9" t="s">
        <v>1022</v>
      </c>
      <c r="C9" s="9" t="s">
        <v>1023</v>
      </c>
      <c r="D9" s="9">
        <v>4</v>
      </c>
      <c r="E9" s="9" t="s">
        <v>1024</v>
      </c>
    </row>
    <row r="10" spans="1:5" ht="36">
      <c r="A10" s="9" t="s">
        <v>971</v>
      </c>
      <c r="B10" s="9" t="s">
        <v>1025</v>
      </c>
      <c r="C10" s="9" t="s">
        <v>1026</v>
      </c>
      <c r="D10" s="9">
        <v>3</v>
      </c>
      <c r="E10" s="9" t="s">
        <v>1027</v>
      </c>
    </row>
    <row r="11" spans="1:5" ht="24">
      <c r="A11" s="9" t="s">
        <v>978</v>
      </c>
      <c r="B11" s="9" t="s">
        <v>1028</v>
      </c>
      <c r="C11" s="9" t="s">
        <v>1029</v>
      </c>
      <c r="D11" s="9">
        <v>3</v>
      </c>
      <c r="E11" s="9" t="s">
        <v>1030</v>
      </c>
    </row>
    <row r="12" spans="1:5" ht="36">
      <c r="A12" s="9" t="s">
        <v>985</v>
      </c>
      <c r="B12" s="9" t="s">
        <v>1031</v>
      </c>
      <c r="C12" s="9" t="s">
        <v>1032</v>
      </c>
      <c r="D12" s="9">
        <v>5</v>
      </c>
      <c r="E12" s="9" t="s">
        <v>1033</v>
      </c>
    </row>
    <row r="13" spans="1:5" ht="36">
      <c r="A13" s="9" t="s">
        <v>992</v>
      </c>
      <c r="B13" s="9" t="s">
        <v>1034</v>
      </c>
      <c r="C13" s="9" t="s">
        <v>1035</v>
      </c>
      <c r="D13" s="9">
        <v>3</v>
      </c>
      <c r="E13" s="9" t="s">
        <v>1036</v>
      </c>
    </row>
    <row r="14" spans="1:5" ht="36">
      <c r="A14" s="9" t="s">
        <v>998</v>
      </c>
      <c r="B14" s="9" t="s">
        <v>1037</v>
      </c>
      <c r="C14" s="9" t="s">
        <v>1038</v>
      </c>
      <c r="D14" s="9">
        <v>4</v>
      </c>
      <c r="E14" s="9" t="s">
        <v>1039</v>
      </c>
    </row>
  </sheetData>
  <mergeCells count="3">
    <mergeCell ref="A1:E1"/>
    <mergeCell ref="A2:E2"/>
    <mergeCell ref="A3:E3"/>
  </mergeCells>
  <phoneticPr fontId="6" type="noConversion"/>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24"/>
  <sheetViews>
    <sheetView showGridLines="0" workbookViewId="0"/>
  </sheetViews>
  <sheetFormatPr defaultRowHeight="14.25"/>
  <cols>
    <col min="1" max="1" width="18" customWidth="1"/>
    <col min="2" max="2" width="34" customWidth="1"/>
    <col min="3" max="3" width="48" customWidth="1"/>
    <col min="4" max="4" width="100" customWidth="1"/>
    <col min="5" max="5" width="52" customWidth="1"/>
    <col min="6" max="6" width="64" customWidth="1"/>
    <col min="7" max="7" width="56" customWidth="1"/>
    <col min="8" max="8" width="66" customWidth="1"/>
    <col min="9" max="9" width="16" customWidth="1"/>
    <col min="10" max="10" width="14" customWidth="1"/>
    <col min="11" max="11" width="52" customWidth="1"/>
    <col min="12" max="12" width="62" customWidth="1"/>
    <col min="13" max="13" width="16" customWidth="1"/>
  </cols>
  <sheetData>
    <row r="1" spans="1:6" ht="30" customHeight="1">
      <c r="A1" s="15" t="s">
        <v>1040</v>
      </c>
      <c r="B1" s="15"/>
      <c r="C1" s="15"/>
      <c r="D1" s="15"/>
      <c r="E1" s="15"/>
      <c r="F1" s="15"/>
    </row>
    <row r="2" spans="1:6" ht="36" customHeight="1">
      <c r="A2" s="16" t="s">
        <v>1041</v>
      </c>
      <c r="B2" s="16"/>
      <c r="C2" s="16"/>
      <c r="D2" s="16"/>
      <c r="E2" s="16"/>
      <c r="F2" s="16"/>
    </row>
    <row r="3" spans="1:6" ht="24" customHeight="1">
      <c r="A3" s="21" t="s">
        <v>1042</v>
      </c>
      <c r="B3" s="21"/>
      <c r="C3" s="21"/>
      <c r="D3" s="21"/>
      <c r="E3" s="21"/>
      <c r="F3" s="21"/>
    </row>
    <row r="5" spans="1:6" ht="32.1" customHeight="1">
      <c r="A5" s="13" t="s">
        <v>1043</v>
      </c>
      <c r="B5" s="13" t="s">
        <v>1044</v>
      </c>
      <c r="C5" s="13" t="s">
        <v>1045</v>
      </c>
      <c r="D5" s="13" t="s">
        <v>1046</v>
      </c>
      <c r="E5" s="13" t="s">
        <v>1047</v>
      </c>
      <c r="F5" s="13" t="s">
        <v>1048</v>
      </c>
    </row>
    <row r="6" spans="1:6" ht="36" customHeight="1">
      <c r="A6" s="14" t="s">
        <v>1049</v>
      </c>
      <c r="B6" s="14" t="s">
        <v>1050</v>
      </c>
      <c r="C6" s="14" t="s">
        <v>921</v>
      </c>
      <c r="D6" s="14" t="s">
        <v>1051</v>
      </c>
      <c r="E6" s="14" t="s">
        <v>1052</v>
      </c>
      <c r="F6" s="14" t="s">
        <v>1053</v>
      </c>
    </row>
    <row r="7" spans="1:6" ht="36" customHeight="1">
      <c r="A7" s="9" t="s">
        <v>1054</v>
      </c>
      <c r="B7" s="9" t="s">
        <v>1051</v>
      </c>
      <c r="C7" s="9" t="s">
        <v>1007</v>
      </c>
      <c r="D7" s="9" t="s">
        <v>1055</v>
      </c>
      <c r="E7" s="9" t="s">
        <v>1056</v>
      </c>
      <c r="F7" s="9" t="s">
        <v>1057</v>
      </c>
    </row>
    <row r="8" spans="1:6" ht="36" customHeight="1">
      <c r="A8" s="14" t="s">
        <v>1058</v>
      </c>
      <c r="B8" s="14" t="s">
        <v>1055</v>
      </c>
      <c r="C8" s="14" t="s">
        <v>1059</v>
      </c>
      <c r="D8" s="14" t="s">
        <v>1060</v>
      </c>
      <c r="E8" s="14" t="s">
        <v>1061</v>
      </c>
      <c r="F8" s="14" t="s">
        <v>1062</v>
      </c>
    </row>
    <row r="9" spans="1:6" ht="36" customHeight="1">
      <c r="A9" s="9" t="s">
        <v>1063</v>
      </c>
      <c r="B9" s="9" t="s">
        <v>1064</v>
      </c>
      <c r="C9" s="9" t="s">
        <v>1065</v>
      </c>
      <c r="D9" s="9" t="s">
        <v>1066</v>
      </c>
      <c r="E9" s="9" t="s">
        <v>1067</v>
      </c>
      <c r="F9" s="9" t="s">
        <v>1068</v>
      </c>
    </row>
    <row r="10" spans="1:6" ht="36" customHeight="1">
      <c r="A10" s="14" t="s">
        <v>1069</v>
      </c>
      <c r="B10" s="14" t="s">
        <v>1070</v>
      </c>
      <c r="C10" s="14" t="s">
        <v>1071</v>
      </c>
      <c r="D10" s="14" t="s">
        <v>1072</v>
      </c>
      <c r="E10" s="14" t="s">
        <v>1073</v>
      </c>
      <c r="F10" s="14" t="s">
        <v>1074</v>
      </c>
    </row>
    <row r="12" spans="1:6" ht="32.1" customHeight="1">
      <c r="A12" s="13" t="s">
        <v>1075</v>
      </c>
      <c r="B12" s="13" t="s">
        <v>1076</v>
      </c>
      <c r="C12" s="13" t="s">
        <v>1077</v>
      </c>
      <c r="D12" s="13" t="s">
        <v>1078</v>
      </c>
      <c r="E12" s="13" t="s">
        <v>1079</v>
      </c>
      <c r="F12" s="13" t="s">
        <v>1080</v>
      </c>
    </row>
    <row r="13" spans="1:6" ht="44.1" customHeight="1">
      <c r="A13" s="14" t="s">
        <v>1081</v>
      </c>
      <c r="B13" s="14" t="s">
        <v>1082</v>
      </c>
      <c r="C13" s="14" t="s">
        <v>1083</v>
      </c>
      <c r="D13" s="14" t="s">
        <v>1084</v>
      </c>
      <c r="E13" s="14" t="s">
        <v>1085</v>
      </c>
      <c r="F13" s="14" t="s">
        <v>1086</v>
      </c>
    </row>
    <row r="14" spans="1:6" ht="44.1" customHeight="1">
      <c r="A14" s="9" t="s">
        <v>1087</v>
      </c>
      <c r="B14" s="9" t="s">
        <v>1088</v>
      </c>
      <c r="C14" s="9" t="s">
        <v>1089</v>
      </c>
      <c r="D14" s="9" t="s">
        <v>1090</v>
      </c>
      <c r="E14" s="9" t="s">
        <v>1091</v>
      </c>
      <c r="F14" s="9" t="s">
        <v>1092</v>
      </c>
    </row>
    <row r="15" spans="1:6" ht="44.1" customHeight="1">
      <c r="A15" s="14" t="s">
        <v>1093</v>
      </c>
      <c r="B15" s="14" t="s">
        <v>1094</v>
      </c>
      <c r="C15" s="14" t="s">
        <v>1095</v>
      </c>
      <c r="D15" s="14" t="s">
        <v>1096</v>
      </c>
      <c r="E15" s="14" t="s">
        <v>1097</v>
      </c>
      <c r="F15" s="14" t="s">
        <v>1098</v>
      </c>
    </row>
    <row r="16" spans="1:6" ht="44.1" customHeight="1">
      <c r="A16" s="9" t="s">
        <v>1099</v>
      </c>
      <c r="B16" s="9" t="s">
        <v>1100</v>
      </c>
      <c r="C16" s="9" t="s">
        <v>1101</v>
      </c>
      <c r="D16" s="9" t="s">
        <v>1102</v>
      </c>
      <c r="E16" s="9" t="s">
        <v>1103</v>
      </c>
      <c r="F16" s="9" t="s">
        <v>1104</v>
      </c>
    </row>
    <row r="17" spans="1:6" ht="44.1" customHeight="1">
      <c r="A17" s="14" t="s">
        <v>1105</v>
      </c>
      <c r="B17" s="14" t="s">
        <v>1106</v>
      </c>
      <c r="C17" s="14" t="s">
        <v>1107</v>
      </c>
      <c r="D17" s="14" t="s">
        <v>1108</v>
      </c>
      <c r="E17" s="14" t="s">
        <v>1109</v>
      </c>
      <c r="F17" s="14" t="s">
        <v>1110</v>
      </c>
    </row>
    <row r="19" spans="1:6" ht="32.1" customHeight="1">
      <c r="A19" s="13" t="s">
        <v>582</v>
      </c>
      <c r="B19" s="13" t="s">
        <v>1111</v>
      </c>
      <c r="C19" s="13" t="s">
        <v>1112</v>
      </c>
      <c r="D19" s="13" t="s">
        <v>1113</v>
      </c>
      <c r="E19" s="13" t="s">
        <v>1114</v>
      </c>
      <c r="F19" s="13" t="s">
        <v>1115</v>
      </c>
    </row>
    <row r="20" spans="1:6" ht="38.1" customHeight="1">
      <c r="A20" s="14">
        <v>1</v>
      </c>
      <c r="B20" s="14" t="s">
        <v>934</v>
      </c>
      <c r="C20" s="14" t="s">
        <v>1007</v>
      </c>
      <c r="D20" s="14" t="s">
        <v>1011</v>
      </c>
      <c r="E20" s="14" t="s">
        <v>1055</v>
      </c>
      <c r="F20" s="14" t="s">
        <v>1116</v>
      </c>
    </row>
    <row r="21" spans="1:6" ht="38.1" customHeight="1">
      <c r="A21" s="9">
        <v>2</v>
      </c>
      <c r="B21" s="9" t="s">
        <v>1117</v>
      </c>
      <c r="C21" s="9" t="s">
        <v>581</v>
      </c>
      <c r="D21" s="9" t="s">
        <v>592</v>
      </c>
      <c r="E21" s="9" t="s">
        <v>1118</v>
      </c>
      <c r="F21" s="9" t="s">
        <v>1119</v>
      </c>
    </row>
    <row r="22" spans="1:6" ht="38.1" customHeight="1">
      <c r="A22" s="14">
        <v>3</v>
      </c>
      <c r="B22" s="14" t="s">
        <v>1117</v>
      </c>
      <c r="C22" s="14" t="s">
        <v>1120</v>
      </c>
      <c r="D22" s="14" t="s">
        <v>1121</v>
      </c>
      <c r="E22" s="14" t="s">
        <v>1122</v>
      </c>
      <c r="F22" s="14" t="s">
        <v>1123</v>
      </c>
    </row>
    <row r="23" spans="1:6" ht="38.1" customHeight="1">
      <c r="A23" s="9">
        <v>4</v>
      </c>
      <c r="B23" s="9" t="s">
        <v>1117</v>
      </c>
      <c r="C23" s="9" t="s">
        <v>1124</v>
      </c>
      <c r="D23" s="9" t="s">
        <v>1125</v>
      </c>
      <c r="E23" s="9" t="s">
        <v>1064</v>
      </c>
      <c r="F23" s="9" t="s">
        <v>1126</v>
      </c>
    </row>
    <row r="24" spans="1:6" ht="38.1" customHeight="1">
      <c r="A24" s="14">
        <v>5</v>
      </c>
      <c r="B24" s="14" t="s">
        <v>1117</v>
      </c>
      <c r="C24" s="14" t="s">
        <v>1127</v>
      </c>
      <c r="D24" s="14" t="s">
        <v>1128</v>
      </c>
      <c r="E24" s="14" t="s">
        <v>1129</v>
      </c>
      <c r="F24" s="14" t="s">
        <v>1130</v>
      </c>
    </row>
  </sheetData>
  <mergeCells count="3">
    <mergeCell ref="A1:F1"/>
    <mergeCell ref="A2:F2"/>
    <mergeCell ref="A3:F3"/>
  </mergeCells>
  <phoneticPr fontId="6"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L39"/>
  <sheetViews>
    <sheetView showGridLines="0" workbookViewId="0"/>
  </sheetViews>
  <sheetFormatPr defaultRowHeight="14.25"/>
  <cols>
    <col min="1" max="1" width="26" customWidth="1"/>
    <col min="2" max="2" width="12" customWidth="1"/>
    <col min="3" max="3" width="34" customWidth="1"/>
    <col min="4" max="4" width="28" customWidth="1"/>
    <col min="5" max="5" width="62" customWidth="1"/>
    <col min="6" max="6" width="70" customWidth="1"/>
    <col min="7" max="7" width="54" customWidth="1"/>
    <col min="8" max="8" width="82" customWidth="1"/>
    <col min="9" max="9" width="30" customWidth="1"/>
    <col min="10" max="10" width="80" customWidth="1"/>
    <col min="11" max="11" width="58" customWidth="1"/>
    <col min="12" max="12" width="16" customWidth="1"/>
  </cols>
  <sheetData>
    <row r="1" spans="1:12" ht="30" customHeight="1">
      <c r="A1" s="15" t="s">
        <v>1131</v>
      </c>
      <c r="B1" s="15"/>
      <c r="C1" s="15"/>
      <c r="D1" s="15"/>
      <c r="E1" s="15"/>
      <c r="F1" s="15"/>
      <c r="G1" s="15"/>
      <c r="H1" s="15"/>
      <c r="I1" s="15"/>
      <c r="J1" s="15"/>
      <c r="K1" s="15"/>
      <c r="L1" s="15"/>
    </row>
    <row r="2" spans="1:12" ht="36" customHeight="1">
      <c r="A2" s="16" t="s">
        <v>1132</v>
      </c>
      <c r="B2" s="16"/>
      <c r="C2" s="16"/>
      <c r="D2" s="16"/>
      <c r="E2" s="16"/>
      <c r="F2" s="16"/>
      <c r="G2" s="16"/>
      <c r="H2" s="16"/>
      <c r="I2" s="16"/>
      <c r="J2" s="16"/>
      <c r="K2" s="16"/>
      <c r="L2" s="16"/>
    </row>
    <row r="3" spans="1:12" ht="24" customHeight="1">
      <c r="A3" s="17" t="s">
        <v>1133</v>
      </c>
      <c r="B3" s="17"/>
      <c r="C3" s="17"/>
      <c r="D3" s="17"/>
      <c r="E3" s="17"/>
      <c r="F3" s="17"/>
      <c r="G3" s="17"/>
      <c r="H3" s="17"/>
      <c r="I3" s="17"/>
      <c r="J3" s="17"/>
      <c r="K3" s="17"/>
      <c r="L3" s="17"/>
    </row>
    <row r="4" spans="1:12" ht="36" customHeight="1">
      <c r="A4" s="13" t="s">
        <v>1134</v>
      </c>
      <c r="B4" s="13" t="s">
        <v>1135</v>
      </c>
      <c r="C4" s="13" t="s">
        <v>1136</v>
      </c>
      <c r="D4" s="13" t="s">
        <v>581</v>
      </c>
      <c r="E4" s="13" t="s">
        <v>1120</v>
      </c>
      <c r="F4" s="13" t="s">
        <v>1124</v>
      </c>
      <c r="G4" s="13" t="s">
        <v>1137</v>
      </c>
      <c r="H4" s="13" t="s">
        <v>1127</v>
      </c>
      <c r="I4" s="13" t="s">
        <v>1138</v>
      </c>
      <c r="J4" s="13" t="s">
        <v>1139</v>
      </c>
      <c r="K4" s="13" t="s">
        <v>1140</v>
      </c>
      <c r="L4" s="13" t="s">
        <v>1080</v>
      </c>
    </row>
    <row r="5" spans="1:12">
      <c r="A5" s="9" t="s">
        <v>1141</v>
      </c>
      <c r="B5" s="9">
        <v>1</v>
      </c>
      <c r="C5" s="9" t="s">
        <v>1142</v>
      </c>
      <c r="D5" s="9" t="s">
        <v>588</v>
      </c>
      <c r="E5" s="9" t="s">
        <v>1143</v>
      </c>
      <c r="F5" s="9" t="s">
        <v>1144</v>
      </c>
      <c r="G5" s="9" t="s">
        <v>1143</v>
      </c>
      <c r="H5" s="9" t="s">
        <v>1145</v>
      </c>
      <c r="I5" s="9" t="s">
        <v>1143</v>
      </c>
      <c r="J5" s="9" t="s">
        <v>1146</v>
      </c>
      <c r="K5" s="9" t="s">
        <v>1147</v>
      </c>
      <c r="L5" s="9" t="s">
        <v>1148</v>
      </c>
    </row>
    <row r="6" spans="1:12">
      <c r="A6" s="9" t="s">
        <v>1117</v>
      </c>
      <c r="B6" s="9">
        <v>2</v>
      </c>
      <c r="C6" s="9" t="s">
        <v>1149</v>
      </c>
      <c r="D6" s="9" t="s">
        <v>592</v>
      </c>
      <c r="E6" s="9" t="s">
        <v>1121</v>
      </c>
      <c r="F6" s="9" t="s">
        <v>1125</v>
      </c>
      <c r="G6" s="9" t="s">
        <v>1143</v>
      </c>
      <c r="H6" s="9" t="s">
        <v>1128</v>
      </c>
      <c r="I6" s="9" t="s">
        <v>1143</v>
      </c>
      <c r="J6" s="9" t="s">
        <v>1150</v>
      </c>
      <c r="K6" s="9" t="s">
        <v>1151</v>
      </c>
      <c r="L6" s="9" t="s">
        <v>1148</v>
      </c>
    </row>
    <row r="7" spans="1:12">
      <c r="A7" s="9" t="s">
        <v>1152</v>
      </c>
      <c r="B7" s="9">
        <v>1</v>
      </c>
      <c r="C7" s="9" t="s">
        <v>1142</v>
      </c>
      <c r="D7" s="9" t="s">
        <v>597</v>
      </c>
      <c r="E7" s="9" t="s">
        <v>1143</v>
      </c>
      <c r="F7" s="9" t="s">
        <v>797</v>
      </c>
      <c r="G7" s="9" t="s">
        <v>1143</v>
      </c>
      <c r="H7" s="9" t="s">
        <v>433</v>
      </c>
      <c r="I7" s="9" t="s">
        <v>1143</v>
      </c>
      <c r="J7" s="9" t="s">
        <v>1153</v>
      </c>
      <c r="K7" s="9" t="s">
        <v>1147</v>
      </c>
      <c r="L7" s="9" t="s">
        <v>1148</v>
      </c>
    </row>
    <row r="8" spans="1:12">
      <c r="A8" s="9" t="s">
        <v>1154</v>
      </c>
      <c r="B8" s="9">
        <v>2</v>
      </c>
      <c r="C8" s="9" t="s">
        <v>1155</v>
      </c>
      <c r="D8" s="9" t="s">
        <v>598</v>
      </c>
      <c r="E8" s="9" t="s">
        <v>1143</v>
      </c>
      <c r="F8" s="9" t="s">
        <v>799</v>
      </c>
      <c r="G8" s="9" t="s">
        <v>534</v>
      </c>
      <c r="H8" s="9" t="s">
        <v>437</v>
      </c>
      <c r="I8" s="9" t="s">
        <v>1143</v>
      </c>
      <c r="J8" s="9" t="s">
        <v>1156</v>
      </c>
      <c r="K8" s="9" t="s">
        <v>729</v>
      </c>
      <c r="L8" s="9" t="s">
        <v>1148</v>
      </c>
    </row>
    <row r="9" spans="1:12">
      <c r="A9" s="9" t="s">
        <v>1157</v>
      </c>
      <c r="B9" s="9">
        <v>3</v>
      </c>
      <c r="C9" s="9" t="s">
        <v>1158</v>
      </c>
      <c r="D9" s="9" t="s">
        <v>606</v>
      </c>
      <c r="E9" s="9" t="s">
        <v>727</v>
      </c>
      <c r="F9" s="9" t="s">
        <v>805</v>
      </c>
      <c r="G9" s="9" t="s">
        <v>534</v>
      </c>
      <c r="H9" s="9" t="s">
        <v>435</v>
      </c>
      <c r="I9" s="9" t="s">
        <v>1143</v>
      </c>
      <c r="J9" s="9" t="s">
        <v>1159</v>
      </c>
      <c r="K9" s="9" t="s">
        <v>1160</v>
      </c>
      <c r="L9" s="9" t="s">
        <v>1148</v>
      </c>
    </row>
    <row r="10" spans="1:12">
      <c r="A10" s="9" t="s">
        <v>1161</v>
      </c>
      <c r="B10" s="9">
        <v>4</v>
      </c>
      <c r="C10" s="9" t="s">
        <v>1162</v>
      </c>
      <c r="D10" s="9" t="s">
        <v>602</v>
      </c>
      <c r="E10" s="9" t="s">
        <v>1143</v>
      </c>
      <c r="F10" s="9" t="s">
        <v>811</v>
      </c>
      <c r="G10" s="9" t="s">
        <v>534</v>
      </c>
      <c r="H10" s="9" t="s">
        <v>1143</v>
      </c>
      <c r="I10" s="9" t="s">
        <v>803</v>
      </c>
      <c r="J10" s="9" t="s">
        <v>1163</v>
      </c>
      <c r="K10" s="9" t="s">
        <v>729</v>
      </c>
      <c r="L10" s="9" t="s">
        <v>1148</v>
      </c>
    </row>
    <row r="11" spans="1:12">
      <c r="A11" s="9" t="s">
        <v>1164</v>
      </c>
      <c r="B11" s="9">
        <v>1</v>
      </c>
      <c r="C11" s="9" t="s">
        <v>1165</v>
      </c>
      <c r="D11" s="9" t="s">
        <v>611</v>
      </c>
      <c r="E11" s="9" t="s">
        <v>1143</v>
      </c>
      <c r="F11" s="9" t="s">
        <v>815</v>
      </c>
      <c r="G11" s="9" t="s">
        <v>1143</v>
      </c>
      <c r="H11" s="9" t="s">
        <v>453</v>
      </c>
      <c r="I11" s="9" t="s">
        <v>1143</v>
      </c>
      <c r="J11" s="9" t="s">
        <v>1166</v>
      </c>
      <c r="K11" s="9" t="s">
        <v>1167</v>
      </c>
      <c r="L11" s="9" t="s">
        <v>1148</v>
      </c>
    </row>
    <row r="12" spans="1:12">
      <c r="A12" s="9" t="s">
        <v>1168</v>
      </c>
      <c r="B12" s="9">
        <v>2</v>
      </c>
      <c r="C12" s="9" t="s">
        <v>1169</v>
      </c>
      <c r="D12" s="9" t="s">
        <v>615</v>
      </c>
      <c r="E12" s="9" t="s">
        <v>1143</v>
      </c>
      <c r="F12" s="9" t="s">
        <v>1170</v>
      </c>
      <c r="G12" s="9" t="s">
        <v>542</v>
      </c>
      <c r="H12" s="9" t="s">
        <v>1171</v>
      </c>
      <c r="I12" s="9" t="s">
        <v>1143</v>
      </c>
      <c r="J12" s="9" t="s">
        <v>1172</v>
      </c>
      <c r="K12" s="9" t="s">
        <v>1173</v>
      </c>
      <c r="L12" s="9" t="s">
        <v>1148</v>
      </c>
    </row>
    <row r="13" spans="1:12">
      <c r="A13" s="9" t="s">
        <v>1174</v>
      </c>
      <c r="B13" s="9">
        <v>3</v>
      </c>
      <c r="C13" s="9" t="s">
        <v>1175</v>
      </c>
      <c r="D13" s="9" t="s">
        <v>619</v>
      </c>
      <c r="E13" s="9" t="s">
        <v>1143</v>
      </c>
      <c r="F13" s="9" t="s">
        <v>823</v>
      </c>
      <c r="G13" s="9" t="s">
        <v>542</v>
      </c>
      <c r="H13" s="9" t="s">
        <v>447</v>
      </c>
      <c r="I13" s="9" t="s">
        <v>1143</v>
      </c>
      <c r="J13" s="9" t="s">
        <v>1176</v>
      </c>
      <c r="K13" s="9" t="s">
        <v>1177</v>
      </c>
      <c r="L13" s="9" t="s">
        <v>1148</v>
      </c>
    </row>
    <row r="14" spans="1:12">
      <c r="A14" s="9" t="s">
        <v>1178</v>
      </c>
      <c r="B14" s="9">
        <v>4</v>
      </c>
      <c r="C14" s="9" t="s">
        <v>1179</v>
      </c>
      <c r="D14" s="9" t="s">
        <v>622</v>
      </c>
      <c r="E14" s="9" t="s">
        <v>731</v>
      </c>
      <c r="F14" s="9" t="s">
        <v>827</v>
      </c>
      <c r="G14" s="9" t="s">
        <v>542</v>
      </c>
      <c r="H14" s="9" t="s">
        <v>1180</v>
      </c>
      <c r="I14" s="9" t="s">
        <v>1143</v>
      </c>
      <c r="J14" s="9" t="s">
        <v>1181</v>
      </c>
      <c r="K14" s="9" t="s">
        <v>1177</v>
      </c>
      <c r="L14" s="9" t="s">
        <v>1148</v>
      </c>
    </row>
    <row r="15" spans="1:12">
      <c r="A15" s="9" t="s">
        <v>1182</v>
      </c>
      <c r="B15" s="9">
        <v>1</v>
      </c>
      <c r="C15" s="9" t="s">
        <v>1183</v>
      </c>
      <c r="D15" s="9" t="s">
        <v>625</v>
      </c>
      <c r="E15" s="9" t="s">
        <v>735</v>
      </c>
      <c r="F15" s="9" t="s">
        <v>1184</v>
      </c>
      <c r="G15" s="9" t="s">
        <v>547</v>
      </c>
      <c r="H15" s="9" t="s">
        <v>1185</v>
      </c>
      <c r="I15" s="9" t="s">
        <v>1143</v>
      </c>
      <c r="J15" s="9" t="s">
        <v>1186</v>
      </c>
      <c r="K15" s="9" t="s">
        <v>1187</v>
      </c>
      <c r="L15" s="9" t="s">
        <v>1148</v>
      </c>
    </row>
    <row r="16" spans="1:12">
      <c r="A16" s="9" t="s">
        <v>1188</v>
      </c>
      <c r="B16" s="9">
        <v>2</v>
      </c>
      <c r="C16" s="9" t="s">
        <v>1189</v>
      </c>
      <c r="D16" s="9" t="s">
        <v>633</v>
      </c>
      <c r="E16" s="9" t="s">
        <v>1143</v>
      </c>
      <c r="F16" s="9" t="s">
        <v>838</v>
      </c>
      <c r="G16" s="9" t="s">
        <v>547</v>
      </c>
      <c r="H16" s="9" t="s">
        <v>458</v>
      </c>
      <c r="I16" s="9" t="s">
        <v>1143</v>
      </c>
      <c r="J16" s="9" t="s">
        <v>1190</v>
      </c>
      <c r="K16" s="9" t="s">
        <v>1191</v>
      </c>
      <c r="L16" s="9" t="s">
        <v>1148</v>
      </c>
    </row>
    <row r="17" spans="1:12">
      <c r="A17" s="9" t="s">
        <v>1192</v>
      </c>
      <c r="B17" s="9">
        <v>3</v>
      </c>
      <c r="C17" s="9" t="s">
        <v>1193</v>
      </c>
      <c r="D17" s="9" t="s">
        <v>628</v>
      </c>
      <c r="E17" s="9" t="s">
        <v>1143</v>
      </c>
      <c r="F17" s="9" t="s">
        <v>841</v>
      </c>
      <c r="G17" s="9" t="s">
        <v>1143</v>
      </c>
      <c r="H17" s="9" t="s">
        <v>465</v>
      </c>
      <c r="I17" s="9" t="s">
        <v>1143</v>
      </c>
      <c r="J17" s="9" t="s">
        <v>1194</v>
      </c>
      <c r="K17" s="9" t="s">
        <v>1195</v>
      </c>
      <c r="L17" s="9" t="s">
        <v>1148</v>
      </c>
    </row>
    <row r="18" spans="1:12">
      <c r="A18" s="9" t="s">
        <v>1196</v>
      </c>
      <c r="B18" s="9">
        <v>1</v>
      </c>
      <c r="C18" s="9" t="s">
        <v>1142</v>
      </c>
      <c r="D18" s="9" t="s">
        <v>637</v>
      </c>
      <c r="E18" s="9" t="s">
        <v>1143</v>
      </c>
      <c r="F18" s="9" t="s">
        <v>844</v>
      </c>
      <c r="G18" s="9" t="s">
        <v>1143</v>
      </c>
      <c r="H18" s="9" t="s">
        <v>468</v>
      </c>
      <c r="I18" s="9" t="s">
        <v>1143</v>
      </c>
      <c r="J18" s="9" t="s">
        <v>1197</v>
      </c>
      <c r="K18" s="9" t="s">
        <v>1147</v>
      </c>
      <c r="L18" s="9" t="s">
        <v>1148</v>
      </c>
    </row>
    <row r="19" spans="1:12">
      <c r="A19" s="9" t="s">
        <v>1198</v>
      </c>
      <c r="B19" s="9">
        <v>2</v>
      </c>
      <c r="C19" s="9" t="s">
        <v>1199</v>
      </c>
      <c r="D19" s="9" t="s">
        <v>638</v>
      </c>
      <c r="E19" s="9" t="s">
        <v>740</v>
      </c>
      <c r="F19" s="9" t="s">
        <v>846</v>
      </c>
      <c r="G19" s="9" t="s">
        <v>1143</v>
      </c>
      <c r="H19" s="9" t="s">
        <v>470</v>
      </c>
      <c r="I19" s="9" t="s">
        <v>1143</v>
      </c>
      <c r="J19" s="9" t="s">
        <v>1200</v>
      </c>
      <c r="K19" s="9" t="s">
        <v>1201</v>
      </c>
      <c r="L19" s="9" t="s">
        <v>1148</v>
      </c>
    </row>
    <row r="20" spans="1:12">
      <c r="A20" s="9" t="s">
        <v>1202</v>
      </c>
      <c r="B20" s="9">
        <v>3</v>
      </c>
      <c r="C20" s="9" t="s">
        <v>1203</v>
      </c>
      <c r="D20" s="9" t="s">
        <v>643</v>
      </c>
      <c r="E20" s="9" t="s">
        <v>745</v>
      </c>
      <c r="F20" s="9" t="s">
        <v>849</v>
      </c>
      <c r="G20" s="9" t="s">
        <v>1143</v>
      </c>
      <c r="H20" s="9" t="s">
        <v>1143</v>
      </c>
      <c r="I20" s="9" t="s">
        <v>803</v>
      </c>
      <c r="J20" s="9" t="s">
        <v>1204</v>
      </c>
      <c r="K20" s="9" t="s">
        <v>1205</v>
      </c>
      <c r="L20" s="9" t="s">
        <v>1148</v>
      </c>
    </row>
    <row r="21" spans="1:12">
      <c r="A21" s="9" t="s">
        <v>1206</v>
      </c>
      <c r="B21" s="9">
        <v>4</v>
      </c>
      <c r="C21" s="9" t="s">
        <v>1207</v>
      </c>
      <c r="D21" s="9" t="s">
        <v>647</v>
      </c>
      <c r="E21" s="9" t="s">
        <v>1143</v>
      </c>
      <c r="F21" s="9" t="s">
        <v>849</v>
      </c>
      <c r="G21" s="9" t="s">
        <v>1143</v>
      </c>
      <c r="H21" s="9" t="s">
        <v>1143</v>
      </c>
      <c r="I21" s="9" t="s">
        <v>803</v>
      </c>
      <c r="J21" s="9" t="s">
        <v>1208</v>
      </c>
      <c r="K21" s="9" t="s">
        <v>1209</v>
      </c>
      <c r="L21" s="9" t="s">
        <v>1148</v>
      </c>
    </row>
    <row r="22" spans="1:12">
      <c r="A22" s="9" t="s">
        <v>1210</v>
      </c>
      <c r="B22" s="9">
        <v>1</v>
      </c>
      <c r="C22" s="9" t="s">
        <v>1142</v>
      </c>
      <c r="D22" s="9" t="s">
        <v>651</v>
      </c>
      <c r="E22" s="9" t="s">
        <v>1143</v>
      </c>
      <c r="F22" s="9" t="s">
        <v>852</v>
      </c>
      <c r="G22" s="9" t="s">
        <v>1143</v>
      </c>
      <c r="H22" s="9" t="s">
        <v>472</v>
      </c>
      <c r="I22" s="9" t="s">
        <v>1143</v>
      </c>
      <c r="J22" s="9" t="s">
        <v>1211</v>
      </c>
      <c r="K22" s="9" t="s">
        <v>1147</v>
      </c>
      <c r="L22" s="9" t="s">
        <v>1148</v>
      </c>
    </row>
    <row r="23" spans="1:12">
      <c r="A23" s="9" t="s">
        <v>1212</v>
      </c>
      <c r="B23" s="9">
        <v>2</v>
      </c>
      <c r="C23" s="9" t="s">
        <v>1213</v>
      </c>
      <c r="D23" s="9" t="s">
        <v>652</v>
      </c>
      <c r="E23" s="9" t="s">
        <v>1143</v>
      </c>
      <c r="F23" s="9" t="s">
        <v>1214</v>
      </c>
      <c r="G23" s="9" t="s">
        <v>551</v>
      </c>
      <c r="H23" s="9" t="s">
        <v>1215</v>
      </c>
      <c r="I23" s="9" t="s">
        <v>1143</v>
      </c>
      <c r="J23" s="9" t="s">
        <v>1216</v>
      </c>
      <c r="K23" s="9" t="s">
        <v>1217</v>
      </c>
      <c r="L23" s="9" t="s">
        <v>1148</v>
      </c>
    </row>
    <row r="24" spans="1:12">
      <c r="A24" s="9" t="s">
        <v>1218</v>
      </c>
      <c r="B24" s="9">
        <v>3</v>
      </c>
      <c r="C24" s="9" t="s">
        <v>1219</v>
      </c>
      <c r="D24" s="9" t="s">
        <v>655</v>
      </c>
      <c r="E24" s="9" t="s">
        <v>748</v>
      </c>
      <c r="F24" s="9" t="s">
        <v>864</v>
      </c>
      <c r="G24" s="9" t="s">
        <v>551</v>
      </c>
      <c r="H24" s="9" t="s">
        <v>1220</v>
      </c>
      <c r="I24" s="9" t="s">
        <v>1143</v>
      </c>
      <c r="J24" s="9" t="s">
        <v>1221</v>
      </c>
      <c r="K24" s="9" t="s">
        <v>1222</v>
      </c>
      <c r="L24" s="9" t="s">
        <v>1148</v>
      </c>
    </row>
    <row r="25" spans="1:12">
      <c r="A25" s="9" t="s">
        <v>1223</v>
      </c>
      <c r="B25" s="9">
        <v>1</v>
      </c>
      <c r="C25" s="9" t="s">
        <v>1142</v>
      </c>
      <c r="D25" s="9" t="s">
        <v>658</v>
      </c>
      <c r="E25" s="9" t="s">
        <v>1143</v>
      </c>
      <c r="F25" s="9" t="s">
        <v>868</v>
      </c>
      <c r="G25" s="9" t="s">
        <v>1143</v>
      </c>
      <c r="H25" s="9" t="s">
        <v>484</v>
      </c>
      <c r="I25" s="9" t="s">
        <v>1143</v>
      </c>
      <c r="J25" s="9" t="s">
        <v>1197</v>
      </c>
      <c r="K25" s="9" t="s">
        <v>1147</v>
      </c>
      <c r="L25" s="9" t="s">
        <v>1148</v>
      </c>
    </row>
    <row r="26" spans="1:12">
      <c r="A26" s="9" t="s">
        <v>1224</v>
      </c>
      <c r="B26" s="9">
        <v>2</v>
      </c>
      <c r="C26" s="9" t="s">
        <v>1225</v>
      </c>
      <c r="D26" s="9" t="s">
        <v>659</v>
      </c>
      <c r="E26" s="9" t="s">
        <v>1143</v>
      </c>
      <c r="F26" s="9" t="s">
        <v>869</v>
      </c>
      <c r="G26" s="9" t="s">
        <v>556</v>
      </c>
      <c r="H26" s="9" t="s">
        <v>491</v>
      </c>
      <c r="I26" s="9" t="s">
        <v>1143</v>
      </c>
      <c r="J26" s="9" t="s">
        <v>1226</v>
      </c>
      <c r="K26" s="9" t="s">
        <v>1227</v>
      </c>
      <c r="L26" s="9" t="s">
        <v>1148</v>
      </c>
    </row>
    <row r="27" spans="1:12">
      <c r="A27" s="9" t="s">
        <v>1228</v>
      </c>
      <c r="B27" s="9">
        <v>3</v>
      </c>
      <c r="C27" s="9" t="s">
        <v>1229</v>
      </c>
      <c r="D27" s="9" t="s">
        <v>663</v>
      </c>
      <c r="E27" s="9" t="s">
        <v>752</v>
      </c>
      <c r="F27" s="9" t="s">
        <v>871</v>
      </c>
      <c r="G27" s="9" t="s">
        <v>556</v>
      </c>
      <c r="H27" s="9" t="s">
        <v>1230</v>
      </c>
      <c r="I27" s="9" t="s">
        <v>1143</v>
      </c>
      <c r="J27" s="9" t="s">
        <v>1231</v>
      </c>
      <c r="K27" s="9" t="s">
        <v>1232</v>
      </c>
      <c r="L27" s="9" t="s">
        <v>1148</v>
      </c>
    </row>
    <row r="28" spans="1:12">
      <c r="A28" s="9" t="s">
        <v>1233</v>
      </c>
      <c r="B28" s="9">
        <v>1</v>
      </c>
      <c r="C28" s="9" t="s">
        <v>1142</v>
      </c>
      <c r="D28" s="9" t="s">
        <v>669</v>
      </c>
      <c r="E28" s="9" t="s">
        <v>1143</v>
      </c>
      <c r="F28" s="9" t="s">
        <v>876</v>
      </c>
      <c r="G28" s="9" t="s">
        <v>1143</v>
      </c>
      <c r="H28" s="9" t="s">
        <v>493</v>
      </c>
      <c r="I28" s="9" t="s">
        <v>1143</v>
      </c>
      <c r="J28" s="9" t="s">
        <v>1234</v>
      </c>
      <c r="K28" s="9" t="s">
        <v>1147</v>
      </c>
      <c r="L28" s="9" t="s">
        <v>1148</v>
      </c>
    </row>
    <row r="29" spans="1:12">
      <c r="A29" s="9" t="s">
        <v>1235</v>
      </c>
      <c r="B29" s="9">
        <v>2</v>
      </c>
      <c r="C29" s="9" t="s">
        <v>1236</v>
      </c>
      <c r="D29" s="9" t="s">
        <v>670</v>
      </c>
      <c r="E29" s="9" t="s">
        <v>1143</v>
      </c>
      <c r="F29" s="9" t="s">
        <v>878</v>
      </c>
      <c r="G29" s="9" t="s">
        <v>562</v>
      </c>
      <c r="H29" s="9" t="s">
        <v>1143</v>
      </c>
      <c r="I29" s="9" t="s">
        <v>1237</v>
      </c>
      <c r="J29" s="9" t="s">
        <v>1238</v>
      </c>
      <c r="K29" s="9" t="s">
        <v>1239</v>
      </c>
      <c r="L29" s="9" t="s">
        <v>1148</v>
      </c>
    </row>
    <row r="30" spans="1:12">
      <c r="A30" s="9" t="s">
        <v>1240</v>
      </c>
      <c r="B30" s="9">
        <v>3</v>
      </c>
      <c r="C30" s="9" t="s">
        <v>1241</v>
      </c>
      <c r="D30" s="9" t="s">
        <v>674</v>
      </c>
      <c r="E30" s="9" t="s">
        <v>1143</v>
      </c>
      <c r="F30" s="9" t="s">
        <v>884</v>
      </c>
      <c r="G30" s="9" t="s">
        <v>567</v>
      </c>
      <c r="H30" s="9" t="s">
        <v>1143</v>
      </c>
      <c r="I30" s="9" t="s">
        <v>1237</v>
      </c>
      <c r="J30" s="9" t="s">
        <v>1242</v>
      </c>
      <c r="K30" s="9" t="s">
        <v>1239</v>
      </c>
      <c r="L30" s="9" t="s">
        <v>1148</v>
      </c>
    </row>
    <row r="31" spans="1:12">
      <c r="A31" s="9" t="s">
        <v>1243</v>
      </c>
      <c r="B31" s="9">
        <v>4</v>
      </c>
      <c r="C31" s="9" t="s">
        <v>1244</v>
      </c>
      <c r="D31" s="9" t="s">
        <v>677</v>
      </c>
      <c r="E31" s="9" t="s">
        <v>756</v>
      </c>
      <c r="F31" s="9" t="s">
        <v>881</v>
      </c>
      <c r="G31" s="9" t="s">
        <v>1245</v>
      </c>
      <c r="H31" s="9" t="s">
        <v>1246</v>
      </c>
      <c r="I31" s="9" t="s">
        <v>1143</v>
      </c>
      <c r="J31" s="9" t="s">
        <v>1247</v>
      </c>
      <c r="K31" s="9" t="s">
        <v>1248</v>
      </c>
      <c r="L31" s="9" t="s">
        <v>1148</v>
      </c>
    </row>
    <row r="32" spans="1:12">
      <c r="A32" s="9" t="s">
        <v>1249</v>
      </c>
      <c r="B32" s="9">
        <v>5</v>
      </c>
      <c r="C32" s="9" t="s">
        <v>1250</v>
      </c>
      <c r="D32" s="9" t="s">
        <v>681</v>
      </c>
      <c r="E32" s="9" t="s">
        <v>756</v>
      </c>
      <c r="F32" s="9" t="s">
        <v>886</v>
      </c>
      <c r="G32" s="9" t="s">
        <v>1245</v>
      </c>
      <c r="H32" s="9" t="s">
        <v>1251</v>
      </c>
      <c r="I32" s="9" t="s">
        <v>1143</v>
      </c>
      <c r="J32" s="9" t="s">
        <v>1252</v>
      </c>
      <c r="K32" s="9" t="s">
        <v>1253</v>
      </c>
      <c r="L32" s="9" t="s">
        <v>1148</v>
      </c>
    </row>
    <row r="33" spans="1:12">
      <c r="A33" s="9" t="s">
        <v>1254</v>
      </c>
      <c r="B33" s="9">
        <v>1</v>
      </c>
      <c r="C33" s="9" t="s">
        <v>1142</v>
      </c>
      <c r="D33" s="9" t="s">
        <v>686</v>
      </c>
      <c r="E33" s="9" t="s">
        <v>1143</v>
      </c>
      <c r="F33" s="9" t="s">
        <v>1255</v>
      </c>
      <c r="G33" s="9" t="s">
        <v>1143</v>
      </c>
      <c r="H33" s="9" t="s">
        <v>1256</v>
      </c>
      <c r="I33" s="9" t="s">
        <v>1143</v>
      </c>
      <c r="J33" s="9" t="s">
        <v>1257</v>
      </c>
      <c r="K33" s="9" t="s">
        <v>1147</v>
      </c>
      <c r="L33" s="9" t="s">
        <v>1148</v>
      </c>
    </row>
    <row r="34" spans="1:12">
      <c r="A34" s="9" t="s">
        <v>1258</v>
      </c>
      <c r="B34" s="9">
        <v>2</v>
      </c>
      <c r="C34" s="9" t="s">
        <v>1259</v>
      </c>
      <c r="D34" s="9" t="s">
        <v>688</v>
      </c>
      <c r="E34" s="9" t="s">
        <v>760</v>
      </c>
      <c r="F34" s="9" t="s">
        <v>892</v>
      </c>
      <c r="G34" s="9" t="s">
        <v>1143</v>
      </c>
      <c r="H34" s="9" t="s">
        <v>1260</v>
      </c>
      <c r="I34" s="9" t="s">
        <v>1143</v>
      </c>
      <c r="J34" s="9" t="s">
        <v>1261</v>
      </c>
      <c r="K34" s="9" t="s">
        <v>1262</v>
      </c>
      <c r="L34" s="9" t="s">
        <v>1148</v>
      </c>
    </row>
    <row r="35" spans="1:12">
      <c r="A35" s="9" t="s">
        <v>1263</v>
      </c>
      <c r="B35" s="9">
        <v>3</v>
      </c>
      <c r="C35" s="9" t="s">
        <v>1264</v>
      </c>
      <c r="D35" s="9" t="s">
        <v>692</v>
      </c>
      <c r="E35" s="9" t="s">
        <v>1143</v>
      </c>
      <c r="F35" s="9" t="s">
        <v>897</v>
      </c>
      <c r="G35" s="9" t="s">
        <v>570</v>
      </c>
      <c r="H35" s="9" t="s">
        <v>1265</v>
      </c>
      <c r="I35" s="9" t="s">
        <v>1143</v>
      </c>
      <c r="J35" s="9" t="s">
        <v>1266</v>
      </c>
      <c r="K35" s="9" t="s">
        <v>1267</v>
      </c>
      <c r="L35" s="9" t="s">
        <v>1148</v>
      </c>
    </row>
    <row r="36" spans="1:12">
      <c r="A36" s="9" t="s">
        <v>1268</v>
      </c>
      <c r="B36" s="9">
        <v>1</v>
      </c>
      <c r="C36" s="9" t="s">
        <v>1142</v>
      </c>
      <c r="D36" s="9" t="s">
        <v>695</v>
      </c>
      <c r="E36" s="9" t="s">
        <v>1143</v>
      </c>
      <c r="F36" s="9" t="s">
        <v>899</v>
      </c>
      <c r="G36" s="9" t="s">
        <v>1143</v>
      </c>
      <c r="H36" s="9" t="s">
        <v>515</v>
      </c>
      <c r="I36" s="9" t="s">
        <v>1143</v>
      </c>
      <c r="J36" s="9" t="s">
        <v>1234</v>
      </c>
      <c r="K36" s="9" t="s">
        <v>1147</v>
      </c>
      <c r="L36" s="9" t="s">
        <v>1148</v>
      </c>
    </row>
    <row r="37" spans="1:12">
      <c r="A37" s="9" t="s">
        <v>1269</v>
      </c>
      <c r="B37" s="9">
        <v>2</v>
      </c>
      <c r="C37" s="9" t="s">
        <v>1270</v>
      </c>
      <c r="D37" s="9" t="s">
        <v>696</v>
      </c>
      <c r="E37" s="9" t="s">
        <v>1143</v>
      </c>
      <c r="F37" s="9" t="s">
        <v>900</v>
      </c>
      <c r="G37" s="9" t="s">
        <v>1143</v>
      </c>
      <c r="H37" s="9" t="s">
        <v>516</v>
      </c>
      <c r="I37" s="9" t="s">
        <v>1143</v>
      </c>
      <c r="J37" s="9" t="s">
        <v>1271</v>
      </c>
      <c r="K37" s="9" t="s">
        <v>1272</v>
      </c>
      <c r="L37" s="9" t="s">
        <v>1148</v>
      </c>
    </row>
    <row r="38" spans="1:12">
      <c r="A38" s="9" t="s">
        <v>1273</v>
      </c>
      <c r="B38" s="9">
        <v>3</v>
      </c>
      <c r="C38" s="9" t="s">
        <v>1274</v>
      </c>
      <c r="D38" s="9" t="s">
        <v>699</v>
      </c>
      <c r="E38" s="9" t="s">
        <v>764</v>
      </c>
      <c r="F38" s="9" t="s">
        <v>904</v>
      </c>
      <c r="G38" s="9" t="s">
        <v>1143</v>
      </c>
      <c r="H38" s="9" t="s">
        <v>522</v>
      </c>
      <c r="I38" s="9" t="s">
        <v>1143</v>
      </c>
      <c r="J38" s="9" t="s">
        <v>1275</v>
      </c>
      <c r="K38" s="9" t="s">
        <v>1276</v>
      </c>
      <c r="L38" s="9" t="s">
        <v>1148</v>
      </c>
    </row>
    <row r="39" spans="1:12">
      <c r="A39" s="9" t="s">
        <v>1277</v>
      </c>
      <c r="B39" s="9">
        <v>4</v>
      </c>
      <c r="C39" s="9" t="s">
        <v>1278</v>
      </c>
      <c r="D39" s="9" t="s">
        <v>704</v>
      </c>
      <c r="E39" s="9" t="s">
        <v>1143</v>
      </c>
      <c r="F39" s="9" t="s">
        <v>910</v>
      </c>
      <c r="G39" s="9" t="s">
        <v>575</v>
      </c>
      <c r="H39" s="9" t="s">
        <v>1279</v>
      </c>
      <c r="I39" s="9" t="s">
        <v>1143</v>
      </c>
      <c r="J39" s="9" t="s">
        <v>1280</v>
      </c>
      <c r="K39" s="9" t="s">
        <v>1281</v>
      </c>
      <c r="L39" s="9" t="s">
        <v>1148</v>
      </c>
    </row>
  </sheetData>
  <mergeCells count="3">
    <mergeCell ref="A1:L1"/>
    <mergeCell ref="A2:L2"/>
    <mergeCell ref="A3:L3"/>
  </mergeCells>
  <phoneticPr fontId="6"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I55"/>
  <sheetViews>
    <sheetView showGridLines="0" workbookViewId="0"/>
  </sheetViews>
  <sheetFormatPr defaultRowHeight="14.25"/>
  <cols>
    <col min="1" max="1" width="32" customWidth="1"/>
    <col min="2" max="2" width="16" customWidth="1"/>
    <col min="3" max="3" width="56" customWidth="1"/>
    <col min="4" max="11" width="14" customWidth="1"/>
  </cols>
  <sheetData>
    <row r="1" spans="1:9" ht="30" customHeight="1">
      <c r="A1" s="22" t="s">
        <v>401</v>
      </c>
      <c r="B1" s="22"/>
      <c r="C1" s="22"/>
      <c r="D1" s="22"/>
      <c r="E1" s="22"/>
      <c r="F1" s="22"/>
      <c r="G1" s="22"/>
      <c r="H1" s="22"/>
      <c r="I1" s="22"/>
    </row>
    <row r="2" spans="1:9" ht="36" customHeight="1">
      <c r="A2" s="23" t="s">
        <v>402</v>
      </c>
      <c r="B2" s="23"/>
      <c r="C2" s="23"/>
      <c r="D2" s="23"/>
      <c r="E2" s="23"/>
      <c r="F2" s="23"/>
      <c r="G2" s="23"/>
      <c r="H2" s="23"/>
      <c r="I2" s="23"/>
    </row>
    <row r="3" spans="1:9" ht="24" customHeight="1">
      <c r="A3" s="24" t="s">
        <v>403</v>
      </c>
      <c r="B3" s="24"/>
      <c r="C3" s="24"/>
      <c r="D3" s="24"/>
      <c r="E3" s="24"/>
      <c r="F3" s="24"/>
      <c r="G3" s="24"/>
      <c r="H3" s="24"/>
      <c r="I3" s="24"/>
    </row>
    <row r="4" spans="1:9" ht="36" customHeight="1">
      <c r="A4" s="11" t="s">
        <v>404</v>
      </c>
      <c r="B4" s="11" t="s">
        <v>405</v>
      </c>
      <c r="C4" s="11" t="s">
        <v>406</v>
      </c>
      <c r="D4" s="11" t="s">
        <v>407</v>
      </c>
      <c r="E4" s="11" t="s">
        <v>408</v>
      </c>
      <c r="F4" s="11" t="s">
        <v>409</v>
      </c>
      <c r="G4" s="11" t="s">
        <v>410</v>
      </c>
      <c r="H4" s="11" t="s">
        <v>411</v>
      </c>
      <c r="I4" s="11" t="s">
        <v>412</v>
      </c>
    </row>
    <row r="5" spans="1:9">
      <c r="A5" s="9" t="s">
        <v>413</v>
      </c>
      <c r="B5" s="9" t="s">
        <v>414</v>
      </c>
      <c r="C5" s="9" t="s">
        <v>415</v>
      </c>
      <c r="D5" s="9" t="s">
        <v>416</v>
      </c>
      <c r="E5" s="10">
        <v>0.18</v>
      </c>
      <c r="F5" s="10">
        <v>0.21</v>
      </c>
      <c r="G5" s="10">
        <v>0.24</v>
      </c>
      <c r="H5" s="10">
        <v>0.27</v>
      </c>
      <c r="I5" s="10">
        <v>0.3</v>
      </c>
    </row>
    <row r="6" spans="1:9">
      <c r="A6" s="9" t="s">
        <v>417</v>
      </c>
      <c r="B6" s="9" t="s">
        <v>418</v>
      </c>
      <c r="C6" s="9" t="s">
        <v>419</v>
      </c>
      <c r="D6" s="9" t="s">
        <v>416</v>
      </c>
      <c r="E6" s="10">
        <v>0.06</v>
      </c>
      <c r="F6" s="10">
        <v>6.5000000000000002E-2</v>
      </c>
      <c r="G6" s="10">
        <v>7.0000000000000007E-2</v>
      </c>
      <c r="H6" s="10">
        <v>7.4999999999999997E-2</v>
      </c>
      <c r="I6" s="10">
        <v>0.08</v>
      </c>
    </row>
    <row r="7" spans="1:9">
      <c r="A7" s="9" t="s">
        <v>420</v>
      </c>
      <c r="B7" s="9" t="s">
        <v>421</v>
      </c>
      <c r="C7" s="9" t="s">
        <v>422</v>
      </c>
      <c r="D7" s="9" t="s">
        <v>416</v>
      </c>
      <c r="E7" s="10">
        <v>0.3</v>
      </c>
      <c r="F7" s="10">
        <v>0.35</v>
      </c>
      <c r="G7" s="10">
        <v>0.4</v>
      </c>
      <c r="H7" s="10">
        <v>0.45</v>
      </c>
      <c r="I7" s="10">
        <v>0.5</v>
      </c>
    </row>
    <row r="8" spans="1:9">
      <c r="A8" s="9" t="s">
        <v>423</v>
      </c>
      <c r="B8" s="9" t="s">
        <v>424</v>
      </c>
      <c r="C8" s="9" t="s">
        <v>425</v>
      </c>
      <c r="D8" s="9" t="s">
        <v>426</v>
      </c>
      <c r="E8" s="10">
        <v>500</v>
      </c>
      <c r="F8" s="10">
        <v>500</v>
      </c>
      <c r="G8" s="10">
        <v>500</v>
      </c>
      <c r="H8" s="10">
        <v>500</v>
      </c>
      <c r="I8" s="10">
        <v>500</v>
      </c>
    </row>
    <row r="9" spans="1:9">
      <c r="A9" s="9" t="s">
        <v>427</v>
      </c>
      <c r="B9" s="9" t="s">
        <v>428</v>
      </c>
      <c r="C9" s="9" t="s">
        <v>429</v>
      </c>
      <c r="D9" s="9" t="s">
        <v>416</v>
      </c>
      <c r="E9" s="10">
        <v>0.3</v>
      </c>
      <c r="F9" s="10">
        <v>0.35</v>
      </c>
      <c r="G9" s="10">
        <v>0.4</v>
      </c>
      <c r="H9" s="10">
        <v>0.45</v>
      </c>
      <c r="I9" s="10">
        <v>0.5</v>
      </c>
    </row>
    <row r="10" spans="1:9">
      <c r="A10" s="9" t="s">
        <v>430</v>
      </c>
      <c r="B10" s="9" t="s">
        <v>431</v>
      </c>
      <c r="C10" s="9" t="s">
        <v>432</v>
      </c>
      <c r="D10" s="9" t="s">
        <v>416</v>
      </c>
      <c r="E10" s="10">
        <v>0.2</v>
      </c>
      <c r="F10" s="10">
        <v>0.25</v>
      </c>
      <c r="G10" s="10">
        <v>0.3</v>
      </c>
      <c r="H10" s="10">
        <v>0.35</v>
      </c>
      <c r="I10" s="10">
        <v>0.4</v>
      </c>
    </row>
    <row r="11" spans="1:9">
      <c r="A11" s="9" t="s">
        <v>433</v>
      </c>
      <c r="B11" s="9" t="s">
        <v>414</v>
      </c>
      <c r="C11" s="9" t="s">
        <v>434</v>
      </c>
      <c r="D11" s="9" t="s">
        <v>416</v>
      </c>
      <c r="E11" s="10">
        <v>0.15</v>
      </c>
      <c r="F11" s="10">
        <v>0.17499999999999999</v>
      </c>
      <c r="G11" s="10">
        <v>0.2</v>
      </c>
      <c r="H11" s="10">
        <v>0.22500000000000001</v>
      </c>
      <c r="I11" s="10">
        <v>0.25</v>
      </c>
    </row>
    <row r="12" spans="1:9">
      <c r="A12" s="9" t="s">
        <v>435</v>
      </c>
      <c r="B12" s="9" t="s">
        <v>418</v>
      </c>
      <c r="C12" s="9" t="s">
        <v>436</v>
      </c>
      <c r="D12" s="9" t="s">
        <v>416</v>
      </c>
      <c r="E12" s="10">
        <v>0.27</v>
      </c>
      <c r="F12" s="10">
        <v>0.3</v>
      </c>
      <c r="G12" s="10">
        <v>0.33</v>
      </c>
      <c r="H12" s="10">
        <v>0.36</v>
      </c>
      <c r="I12" s="10">
        <v>0.39</v>
      </c>
    </row>
    <row r="13" spans="1:9">
      <c r="A13" s="9" t="s">
        <v>437</v>
      </c>
      <c r="B13" s="9" t="s">
        <v>421</v>
      </c>
      <c r="C13" s="9" t="s">
        <v>438</v>
      </c>
      <c r="D13" s="9" t="s">
        <v>439</v>
      </c>
      <c r="E13" s="10">
        <v>2</v>
      </c>
      <c r="F13" s="10">
        <v>2</v>
      </c>
      <c r="G13" s="10">
        <v>2</v>
      </c>
      <c r="H13" s="10">
        <v>2</v>
      </c>
      <c r="I13" s="10">
        <v>2</v>
      </c>
    </row>
    <row r="14" spans="1:9">
      <c r="A14" s="9" t="s">
        <v>440</v>
      </c>
      <c r="B14" s="9" t="s">
        <v>414</v>
      </c>
      <c r="C14" s="9" t="s">
        <v>441</v>
      </c>
      <c r="D14" s="9" t="s">
        <v>442</v>
      </c>
      <c r="E14" s="10">
        <v>0</v>
      </c>
      <c r="F14" s="10">
        <v>0</v>
      </c>
      <c r="G14" s="10">
        <v>0</v>
      </c>
      <c r="H14" s="10">
        <v>0</v>
      </c>
      <c r="I14" s="10">
        <v>0</v>
      </c>
    </row>
    <row r="15" spans="1:9">
      <c r="A15" s="9" t="s">
        <v>443</v>
      </c>
      <c r="B15" s="9" t="s">
        <v>418</v>
      </c>
      <c r="C15" s="9" t="s">
        <v>444</v>
      </c>
      <c r="D15" s="9" t="s">
        <v>426</v>
      </c>
      <c r="E15" s="10">
        <v>6</v>
      </c>
      <c r="F15" s="10">
        <v>6</v>
      </c>
      <c r="G15" s="10">
        <v>6</v>
      </c>
      <c r="H15" s="10">
        <v>6</v>
      </c>
      <c r="I15" s="10">
        <v>6</v>
      </c>
    </row>
    <row r="16" spans="1:9">
      <c r="A16" s="9" t="s">
        <v>445</v>
      </c>
      <c r="B16" s="9" t="s">
        <v>421</v>
      </c>
      <c r="C16" s="9" t="s">
        <v>446</v>
      </c>
      <c r="D16" s="9" t="s">
        <v>439</v>
      </c>
      <c r="E16" s="10">
        <v>3</v>
      </c>
      <c r="F16" s="10">
        <v>3</v>
      </c>
      <c r="G16" s="10">
        <v>3</v>
      </c>
      <c r="H16" s="10">
        <v>3</v>
      </c>
      <c r="I16" s="10">
        <v>3</v>
      </c>
    </row>
    <row r="17" spans="1:9">
      <c r="A17" s="9" t="s">
        <v>447</v>
      </c>
      <c r="B17" s="9" t="s">
        <v>424</v>
      </c>
      <c r="C17" s="9" t="s">
        <v>448</v>
      </c>
      <c r="D17" s="9" t="s">
        <v>416</v>
      </c>
      <c r="E17" s="10">
        <v>0.2</v>
      </c>
      <c r="F17" s="10">
        <v>0.25</v>
      </c>
      <c r="G17" s="10">
        <v>0.3</v>
      </c>
      <c r="H17" s="10">
        <v>0.35</v>
      </c>
      <c r="I17" s="10">
        <v>0.4</v>
      </c>
    </row>
    <row r="18" spans="1:9">
      <c r="A18" s="9" t="s">
        <v>449</v>
      </c>
      <c r="B18" s="9" t="s">
        <v>428</v>
      </c>
      <c r="C18" s="9" t="s">
        <v>450</v>
      </c>
      <c r="D18" s="9" t="s">
        <v>439</v>
      </c>
      <c r="E18" s="10">
        <v>3</v>
      </c>
      <c r="F18" s="10">
        <v>3</v>
      </c>
      <c r="G18" s="10">
        <v>3</v>
      </c>
      <c r="H18" s="10">
        <v>3</v>
      </c>
      <c r="I18" s="10">
        <v>3</v>
      </c>
    </row>
    <row r="19" spans="1:9">
      <c r="A19" s="9" t="s">
        <v>451</v>
      </c>
      <c r="B19" s="9" t="s">
        <v>431</v>
      </c>
      <c r="C19" s="9" t="s">
        <v>452</v>
      </c>
      <c r="D19" s="9" t="s">
        <v>416</v>
      </c>
      <c r="E19" s="10">
        <v>0.2</v>
      </c>
      <c r="F19" s="10">
        <v>0.25</v>
      </c>
      <c r="G19" s="10">
        <v>0.3</v>
      </c>
      <c r="H19" s="10">
        <v>0.35</v>
      </c>
      <c r="I19" s="10">
        <v>0.4</v>
      </c>
    </row>
    <row r="20" spans="1:9">
      <c r="A20" s="9" t="s">
        <v>453</v>
      </c>
      <c r="B20" s="9" t="s">
        <v>454</v>
      </c>
      <c r="C20" s="9" t="s">
        <v>455</v>
      </c>
      <c r="D20" s="9" t="s">
        <v>416</v>
      </c>
      <c r="E20" s="10">
        <v>0.32</v>
      </c>
      <c r="F20" s="10">
        <v>0.36</v>
      </c>
      <c r="G20" s="10">
        <v>0.4</v>
      </c>
      <c r="H20" s="10">
        <v>0.44</v>
      </c>
      <c r="I20" s="10">
        <v>0.48</v>
      </c>
    </row>
    <row r="21" spans="1:9">
      <c r="A21" s="9" t="s">
        <v>456</v>
      </c>
      <c r="B21" s="9" t="s">
        <v>414</v>
      </c>
      <c r="C21" s="9" t="s">
        <v>457</v>
      </c>
      <c r="D21" s="9" t="s">
        <v>426</v>
      </c>
      <c r="E21" s="10">
        <v>6</v>
      </c>
      <c r="F21" s="10">
        <v>6.5</v>
      </c>
      <c r="G21" s="10">
        <v>7</v>
      </c>
      <c r="H21" s="10">
        <v>7.5</v>
      </c>
      <c r="I21" s="10">
        <v>8</v>
      </c>
    </row>
    <row r="22" spans="1:9">
      <c r="A22" s="9" t="s">
        <v>458</v>
      </c>
      <c r="B22" s="9" t="s">
        <v>418</v>
      </c>
      <c r="C22" s="9" t="s">
        <v>459</v>
      </c>
      <c r="D22" s="9" t="s">
        <v>416</v>
      </c>
      <c r="E22" s="10">
        <v>0.15</v>
      </c>
      <c r="F22" s="10">
        <v>0.17249999999999999</v>
      </c>
      <c r="G22" s="10">
        <v>0.19500000000000001</v>
      </c>
      <c r="H22" s="10">
        <v>0.2175</v>
      </c>
      <c r="I22" s="10">
        <v>0.24</v>
      </c>
    </row>
    <row r="23" spans="1:9">
      <c r="A23" s="9" t="s">
        <v>460</v>
      </c>
      <c r="B23" s="9" t="s">
        <v>421</v>
      </c>
      <c r="C23" s="9" t="s">
        <v>461</v>
      </c>
      <c r="D23" s="9" t="s">
        <v>439</v>
      </c>
      <c r="E23" s="10">
        <v>3</v>
      </c>
      <c r="F23" s="10">
        <v>3</v>
      </c>
      <c r="G23" s="10">
        <v>3</v>
      </c>
      <c r="H23" s="10">
        <v>3</v>
      </c>
      <c r="I23" s="10">
        <v>3</v>
      </c>
    </row>
    <row r="24" spans="1:9">
      <c r="A24" s="9" t="s">
        <v>462</v>
      </c>
      <c r="B24" s="9" t="s">
        <v>424</v>
      </c>
      <c r="C24" s="9" t="s">
        <v>463</v>
      </c>
      <c r="D24" s="9" t="s">
        <v>464</v>
      </c>
      <c r="E24" s="10">
        <v>3</v>
      </c>
      <c r="F24" s="10">
        <v>3</v>
      </c>
      <c r="G24" s="10">
        <v>3</v>
      </c>
      <c r="H24" s="10">
        <v>3</v>
      </c>
      <c r="I24" s="10">
        <v>3</v>
      </c>
    </row>
    <row r="25" spans="1:9">
      <c r="A25" s="9" t="s">
        <v>465</v>
      </c>
      <c r="B25" s="9" t="s">
        <v>428</v>
      </c>
      <c r="C25" s="9" t="s">
        <v>466</v>
      </c>
      <c r="D25" s="9" t="s">
        <v>467</v>
      </c>
      <c r="E25" s="10">
        <v>2</v>
      </c>
      <c r="F25" s="10">
        <v>2</v>
      </c>
      <c r="G25" s="10">
        <v>2</v>
      </c>
      <c r="H25" s="10">
        <v>2</v>
      </c>
      <c r="I25" s="10">
        <v>2</v>
      </c>
    </row>
    <row r="26" spans="1:9">
      <c r="A26" s="9" t="s">
        <v>468</v>
      </c>
      <c r="B26" s="9" t="s">
        <v>414</v>
      </c>
      <c r="C26" s="9" t="s">
        <v>469</v>
      </c>
      <c r="D26" s="9" t="s">
        <v>416</v>
      </c>
      <c r="E26" s="10">
        <v>0.6</v>
      </c>
      <c r="F26" s="10">
        <v>0.75</v>
      </c>
      <c r="G26" s="10">
        <v>0.9</v>
      </c>
      <c r="H26" s="10">
        <v>1.05</v>
      </c>
      <c r="I26" s="10">
        <v>1.2</v>
      </c>
    </row>
    <row r="27" spans="1:9">
      <c r="A27" s="9" t="s">
        <v>470</v>
      </c>
      <c r="B27" s="9" t="s">
        <v>418</v>
      </c>
      <c r="C27" s="9" t="s">
        <v>471</v>
      </c>
      <c r="D27" s="9" t="s">
        <v>416</v>
      </c>
      <c r="E27" s="10">
        <v>0.32</v>
      </c>
      <c r="F27" s="10">
        <v>0.42</v>
      </c>
      <c r="G27" s="10">
        <v>0.52</v>
      </c>
      <c r="H27" s="10">
        <v>0.62</v>
      </c>
      <c r="I27" s="10">
        <v>0.72</v>
      </c>
    </row>
    <row r="28" spans="1:9">
      <c r="A28" s="9" t="s">
        <v>472</v>
      </c>
      <c r="B28" s="9" t="s">
        <v>414</v>
      </c>
      <c r="C28" s="9" t="s">
        <v>473</v>
      </c>
      <c r="D28" s="9" t="s">
        <v>416</v>
      </c>
      <c r="E28" s="10">
        <v>0.64</v>
      </c>
      <c r="F28" s="10">
        <v>0.8</v>
      </c>
      <c r="G28" s="10">
        <v>0.96</v>
      </c>
      <c r="H28" s="10">
        <v>1.1200000000000001</v>
      </c>
      <c r="I28" s="10">
        <v>1.28</v>
      </c>
    </row>
    <row r="29" spans="1:9">
      <c r="A29" s="9" t="s">
        <v>474</v>
      </c>
      <c r="B29" s="9" t="s">
        <v>418</v>
      </c>
      <c r="C29" s="9" t="s">
        <v>475</v>
      </c>
      <c r="D29" s="9" t="s">
        <v>416</v>
      </c>
      <c r="E29" s="10">
        <v>0.24</v>
      </c>
      <c r="F29" s="10">
        <v>0.3</v>
      </c>
      <c r="G29" s="10">
        <v>0.36</v>
      </c>
      <c r="H29" s="10">
        <v>0.42</v>
      </c>
      <c r="I29" s="10">
        <v>0.48</v>
      </c>
    </row>
    <row r="30" spans="1:9">
      <c r="A30" s="9" t="s">
        <v>476</v>
      </c>
      <c r="B30" s="9" t="s">
        <v>421</v>
      </c>
      <c r="C30" s="9" t="s">
        <v>477</v>
      </c>
      <c r="D30" s="9" t="s">
        <v>416</v>
      </c>
      <c r="E30" s="10">
        <v>0.12</v>
      </c>
      <c r="F30" s="10">
        <v>0.15</v>
      </c>
      <c r="G30" s="10">
        <v>0.18</v>
      </c>
      <c r="H30" s="10">
        <v>0.21</v>
      </c>
      <c r="I30" s="10">
        <v>0.24</v>
      </c>
    </row>
    <row r="31" spans="1:9">
      <c r="A31" s="9" t="s">
        <v>478</v>
      </c>
      <c r="B31" s="9" t="s">
        <v>424</v>
      </c>
      <c r="C31" s="9" t="s">
        <v>479</v>
      </c>
      <c r="D31" s="9" t="s">
        <v>464</v>
      </c>
      <c r="E31" s="10">
        <v>3</v>
      </c>
      <c r="F31" s="10">
        <v>3</v>
      </c>
      <c r="G31" s="10">
        <v>3</v>
      </c>
      <c r="H31" s="10">
        <v>3</v>
      </c>
      <c r="I31" s="10">
        <v>3</v>
      </c>
    </row>
    <row r="32" spans="1:9">
      <c r="A32" s="9" t="s">
        <v>480</v>
      </c>
      <c r="B32" s="9" t="s">
        <v>428</v>
      </c>
      <c r="C32" s="9" t="s">
        <v>481</v>
      </c>
      <c r="D32" s="9" t="s">
        <v>416</v>
      </c>
      <c r="E32" s="10">
        <v>0.1</v>
      </c>
      <c r="F32" s="10">
        <v>0.125</v>
      </c>
      <c r="G32" s="10">
        <v>0.15</v>
      </c>
      <c r="H32" s="10">
        <v>0.17499999999999999</v>
      </c>
      <c r="I32" s="10">
        <v>0.2</v>
      </c>
    </row>
    <row r="33" spans="1:9">
      <c r="A33" s="9" t="s">
        <v>482</v>
      </c>
      <c r="B33" s="9" t="s">
        <v>431</v>
      </c>
      <c r="C33" s="9" t="s">
        <v>483</v>
      </c>
      <c r="D33" s="9" t="s">
        <v>416</v>
      </c>
      <c r="E33" s="10">
        <v>0.1</v>
      </c>
      <c r="F33" s="10">
        <v>0.125</v>
      </c>
      <c r="G33" s="10">
        <v>0.15</v>
      </c>
      <c r="H33" s="10">
        <v>0.17499999999999999</v>
      </c>
      <c r="I33" s="10">
        <v>0.2</v>
      </c>
    </row>
    <row r="34" spans="1:9">
      <c r="A34" s="9" t="s">
        <v>484</v>
      </c>
      <c r="B34" s="9" t="s">
        <v>414</v>
      </c>
      <c r="C34" s="9" t="s">
        <v>469</v>
      </c>
      <c r="D34" s="9" t="s">
        <v>416</v>
      </c>
      <c r="E34" s="10">
        <v>0.6</v>
      </c>
      <c r="F34" s="10">
        <v>0.7</v>
      </c>
      <c r="G34" s="10">
        <v>0.8</v>
      </c>
      <c r="H34" s="10">
        <v>0.9</v>
      </c>
      <c r="I34" s="10">
        <v>1</v>
      </c>
    </row>
    <row r="35" spans="1:9">
      <c r="A35" s="9" t="s">
        <v>485</v>
      </c>
      <c r="B35" s="9" t="s">
        <v>418</v>
      </c>
      <c r="C35" s="9" t="s">
        <v>486</v>
      </c>
      <c r="D35" s="9" t="s">
        <v>416</v>
      </c>
      <c r="E35" s="10">
        <v>0.1</v>
      </c>
      <c r="F35" s="10">
        <v>0.12</v>
      </c>
      <c r="G35" s="10">
        <v>0.14000000000000001</v>
      </c>
      <c r="H35" s="10">
        <v>0.16</v>
      </c>
      <c r="I35" s="10">
        <v>0.18</v>
      </c>
    </row>
    <row r="36" spans="1:9">
      <c r="A36" s="9" t="s">
        <v>487</v>
      </c>
      <c r="B36" s="9" t="s">
        <v>421</v>
      </c>
      <c r="C36" s="9" t="s">
        <v>488</v>
      </c>
      <c r="D36" s="9" t="s">
        <v>416</v>
      </c>
      <c r="E36" s="10">
        <v>1.5</v>
      </c>
      <c r="F36" s="10">
        <v>1.5</v>
      </c>
      <c r="G36" s="10">
        <v>1.5</v>
      </c>
      <c r="H36" s="10">
        <v>1.5</v>
      </c>
      <c r="I36" s="10">
        <v>1.5</v>
      </c>
    </row>
    <row r="37" spans="1:9">
      <c r="A37" s="9" t="s">
        <v>489</v>
      </c>
      <c r="B37" s="9" t="s">
        <v>424</v>
      </c>
      <c r="C37" s="9" t="s">
        <v>490</v>
      </c>
      <c r="D37" s="9" t="s">
        <v>416</v>
      </c>
      <c r="E37" s="10">
        <v>0.08</v>
      </c>
      <c r="F37" s="10">
        <v>0.1</v>
      </c>
      <c r="G37" s="10">
        <v>0.12</v>
      </c>
      <c r="H37" s="10">
        <v>0.14000000000000001</v>
      </c>
      <c r="I37" s="10">
        <v>0.16</v>
      </c>
    </row>
    <row r="38" spans="1:9">
      <c r="A38" s="9" t="s">
        <v>491</v>
      </c>
      <c r="B38" s="9" t="s">
        <v>428</v>
      </c>
      <c r="C38" s="9" t="s">
        <v>492</v>
      </c>
      <c r="D38" s="9" t="s">
        <v>464</v>
      </c>
      <c r="E38" s="10">
        <v>2</v>
      </c>
      <c r="F38" s="10">
        <v>2</v>
      </c>
      <c r="G38" s="10">
        <v>2</v>
      </c>
      <c r="H38" s="10">
        <v>2</v>
      </c>
      <c r="I38" s="10">
        <v>2</v>
      </c>
    </row>
    <row r="39" spans="1:9">
      <c r="A39" s="9" t="s">
        <v>493</v>
      </c>
      <c r="B39" s="9" t="s">
        <v>414</v>
      </c>
      <c r="C39" s="9" t="s">
        <v>494</v>
      </c>
      <c r="D39" s="9" t="s">
        <v>416</v>
      </c>
      <c r="E39" s="10">
        <v>0.18</v>
      </c>
      <c r="F39" s="10">
        <v>0.21</v>
      </c>
      <c r="G39" s="10">
        <v>0.24</v>
      </c>
      <c r="H39" s="10">
        <v>0.27</v>
      </c>
      <c r="I39" s="10">
        <v>0.3</v>
      </c>
    </row>
    <row r="40" spans="1:9">
      <c r="A40" s="9" t="s">
        <v>495</v>
      </c>
      <c r="B40" s="9" t="s">
        <v>418</v>
      </c>
      <c r="C40" s="9" t="s">
        <v>496</v>
      </c>
      <c r="D40" s="9" t="s">
        <v>416</v>
      </c>
      <c r="E40" s="10">
        <v>0.16</v>
      </c>
      <c r="F40" s="10">
        <v>0.19</v>
      </c>
      <c r="G40" s="10">
        <v>0.22</v>
      </c>
      <c r="H40" s="10">
        <v>0.25</v>
      </c>
      <c r="I40" s="10">
        <v>0.28000000000000003</v>
      </c>
    </row>
    <row r="41" spans="1:9">
      <c r="A41" s="9" t="s">
        <v>497</v>
      </c>
      <c r="B41" s="9" t="s">
        <v>421</v>
      </c>
      <c r="C41" s="9" t="s">
        <v>498</v>
      </c>
      <c r="D41" s="9" t="s">
        <v>416</v>
      </c>
      <c r="E41" s="10">
        <v>0.1</v>
      </c>
      <c r="F41" s="10">
        <v>0.12</v>
      </c>
      <c r="G41" s="10">
        <v>0.14000000000000001</v>
      </c>
      <c r="H41" s="10">
        <v>0.16</v>
      </c>
      <c r="I41" s="10">
        <v>0.18</v>
      </c>
    </row>
    <row r="42" spans="1:9">
      <c r="A42" s="9" t="s">
        <v>499</v>
      </c>
      <c r="B42" s="9" t="s">
        <v>424</v>
      </c>
      <c r="C42" s="9" t="s">
        <v>500</v>
      </c>
      <c r="D42" s="9" t="s">
        <v>416</v>
      </c>
      <c r="E42" s="10">
        <v>0.6</v>
      </c>
      <c r="F42" s="10">
        <v>0.65</v>
      </c>
      <c r="G42" s="10">
        <v>0.7</v>
      </c>
      <c r="H42" s="10">
        <v>0.75</v>
      </c>
      <c r="I42" s="10">
        <v>0.8</v>
      </c>
    </row>
    <row r="43" spans="1:9">
      <c r="A43" s="9" t="s">
        <v>501</v>
      </c>
      <c r="B43" s="9" t="s">
        <v>414</v>
      </c>
      <c r="C43" s="9" t="s">
        <v>502</v>
      </c>
      <c r="D43" s="9" t="s">
        <v>416</v>
      </c>
      <c r="E43" s="10">
        <v>0.6</v>
      </c>
      <c r="F43" s="10">
        <v>0.75</v>
      </c>
      <c r="G43" s="10">
        <v>0.9</v>
      </c>
      <c r="H43" s="10">
        <v>1.05</v>
      </c>
      <c r="I43" s="10">
        <v>1.2</v>
      </c>
    </row>
    <row r="44" spans="1:9">
      <c r="A44" s="9" t="s">
        <v>503</v>
      </c>
      <c r="B44" s="9" t="s">
        <v>418</v>
      </c>
      <c r="C44" s="9" t="s">
        <v>504</v>
      </c>
      <c r="D44" s="9" t="s">
        <v>416</v>
      </c>
      <c r="E44" s="10">
        <v>0.15</v>
      </c>
      <c r="F44" s="10">
        <v>0.1875</v>
      </c>
      <c r="G44" s="10">
        <v>0.22500000000000001</v>
      </c>
      <c r="H44" s="10">
        <v>0.26250000000000001</v>
      </c>
      <c r="I44" s="10">
        <v>0.3</v>
      </c>
    </row>
    <row r="45" spans="1:9">
      <c r="A45" s="9" t="s">
        <v>505</v>
      </c>
      <c r="B45" s="9" t="s">
        <v>421</v>
      </c>
      <c r="C45" s="9" t="s">
        <v>506</v>
      </c>
      <c r="D45" s="9" t="s">
        <v>464</v>
      </c>
      <c r="E45" s="10">
        <v>2</v>
      </c>
      <c r="F45" s="10">
        <v>2</v>
      </c>
      <c r="G45" s="10">
        <v>2</v>
      </c>
      <c r="H45" s="10">
        <v>2</v>
      </c>
      <c r="I45" s="10">
        <v>2</v>
      </c>
    </row>
    <row r="46" spans="1:9">
      <c r="A46" s="9" t="s">
        <v>507</v>
      </c>
      <c r="B46" s="9" t="s">
        <v>424</v>
      </c>
      <c r="C46" s="9" t="s">
        <v>508</v>
      </c>
      <c r="D46" s="9" t="s">
        <v>416</v>
      </c>
      <c r="E46" s="10">
        <v>0.1</v>
      </c>
      <c r="F46" s="10">
        <v>0.115</v>
      </c>
      <c r="G46" s="10">
        <v>0.13</v>
      </c>
      <c r="H46" s="10">
        <v>0.14499999999999999</v>
      </c>
      <c r="I46" s="10">
        <v>0.16</v>
      </c>
    </row>
    <row r="47" spans="1:9">
      <c r="A47" s="9" t="s">
        <v>509</v>
      </c>
      <c r="B47" s="9" t="s">
        <v>428</v>
      </c>
      <c r="C47" s="9" t="s">
        <v>510</v>
      </c>
      <c r="D47" s="9" t="s">
        <v>426</v>
      </c>
      <c r="E47" s="10">
        <v>120</v>
      </c>
      <c r="F47" s="10">
        <v>120</v>
      </c>
      <c r="G47" s="10">
        <v>120</v>
      </c>
      <c r="H47" s="10">
        <v>120</v>
      </c>
      <c r="I47" s="10">
        <v>120</v>
      </c>
    </row>
    <row r="48" spans="1:9">
      <c r="A48" s="9" t="s">
        <v>511</v>
      </c>
      <c r="B48" s="9" t="s">
        <v>431</v>
      </c>
      <c r="C48" s="9" t="s">
        <v>512</v>
      </c>
      <c r="D48" s="9" t="s">
        <v>416</v>
      </c>
      <c r="E48" s="10">
        <v>2.9999998E-3</v>
      </c>
      <c r="F48" s="10">
        <v>2.9999998E-3</v>
      </c>
      <c r="G48" s="10">
        <v>2.9999998E-3</v>
      </c>
      <c r="H48" s="10">
        <v>2.9999998E-3</v>
      </c>
      <c r="I48" s="10">
        <v>2.9999998E-3</v>
      </c>
    </row>
    <row r="49" spans="1:9">
      <c r="A49" s="9" t="s">
        <v>513</v>
      </c>
      <c r="B49" s="9" t="s">
        <v>454</v>
      </c>
      <c r="C49" s="9" t="s">
        <v>514</v>
      </c>
      <c r="D49" s="9" t="s">
        <v>426</v>
      </c>
      <c r="E49" s="10">
        <v>360</v>
      </c>
      <c r="F49" s="10">
        <v>360</v>
      </c>
      <c r="G49" s="10">
        <v>360</v>
      </c>
      <c r="H49" s="10">
        <v>360</v>
      </c>
      <c r="I49" s="10">
        <v>360</v>
      </c>
    </row>
    <row r="50" spans="1:9">
      <c r="A50" s="9" t="s">
        <v>515</v>
      </c>
      <c r="B50" s="9" t="s">
        <v>414</v>
      </c>
      <c r="C50" s="9" t="s">
        <v>494</v>
      </c>
      <c r="D50" s="9" t="s">
        <v>416</v>
      </c>
      <c r="E50" s="10">
        <v>0.18</v>
      </c>
      <c r="F50" s="10">
        <v>0.21</v>
      </c>
      <c r="G50" s="10">
        <v>0.24</v>
      </c>
      <c r="H50" s="10">
        <v>0.27</v>
      </c>
      <c r="I50" s="10">
        <v>0.3</v>
      </c>
    </row>
    <row r="51" spans="1:9">
      <c r="A51" s="9" t="s">
        <v>516</v>
      </c>
      <c r="B51" s="9" t="s">
        <v>418</v>
      </c>
      <c r="C51" s="9" t="s">
        <v>517</v>
      </c>
      <c r="D51" s="9" t="s">
        <v>416</v>
      </c>
      <c r="E51" s="10">
        <v>0.01</v>
      </c>
      <c r="F51" s="10">
        <v>1.2500000000000001E-2</v>
      </c>
      <c r="G51" s="10">
        <v>1.4999999999999999E-2</v>
      </c>
      <c r="H51" s="10">
        <v>1.7500000000000002E-2</v>
      </c>
      <c r="I51" s="10">
        <v>0.02</v>
      </c>
    </row>
    <row r="52" spans="1:9">
      <c r="A52" s="9" t="s">
        <v>518</v>
      </c>
      <c r="B52" s="9" t="s">
        <v>421</v>
      </c>
      <c r="C52" s="9" t="s">
        <v>441</v>
      </c>
      <c r="D52" s="9" t="s">
        <v>442</v>
      </c>
      <c r="E52" s="10">
        <v>0</v>
      </c>
      <c r="F52" s="10">
        <v>0</v>
      </c>
      <c r="G52" s="10">
        <v>0</v>
      </c>
      <c r="H52" s="10">
        <v>0</v>
      </c>
      <c r="I52" s="10">
        <v>0</v>
      </c>
    </row>
    <row r="53" spans="1:9">
      <c r="A53" s="9" t="s">
        <v>519</v>
      </c>
      <c r="B53" s="9" t="s">
        <v>424</v>
      </c>
      <c r="C53" s="9" t="s">
        <v>520</v>
      </c>
      <c r="D53" s="9" t="s">
        <v>416</v>
      </c>
      <c r="E53" s="10">
        <v>0.18</v>
      </c>
      <c r="F53" s="10">
        <v>0.22500000000000001</v>
      </c>
      <c r="G53" s="10">
        <v>0.27</v>
      </c>
      <c r="H53" s="10">
        <v>0.315</v>
      </c>
      <c r="I53" s="10">
        <v>0.36</v>
      </c>
    </row>
    <row r="54" spans="1:9">
      <c r="A54" s="9" t="s">
        <v>521</v>
      </c>
      <c r="B54" s="9" t="s">
        <v>428</v>
      </c>
      <c r="C54" s="9" t="s">
        <v>506</v>
      </c>
      <c r="D54" s="9" t="s">
        <v>464</v>
      </c>
      <c r="E54" s="10">
        <v>2</v>
      </c>
      <c r="F54" s="10">
        <v>2</v>
      </c>
      <c r="G54" s="10">
        <v>2</v>
      </c>
      <c r="H54" s="10">
        <v>2</v>
      </c>
      <c r="I54" s="10">
        <v>2</v>
      </c>
    </row>
    <row r="55" spans="1:9">
      <c r="A55" s="9" t="s">
        <v>522</v>
      </c>
      <c r="B55" s="9" t="s">
        <v>431</v>
      </c>
      <c r="C55" s="9" t="s">
        <v>523</v>
      </c>
      <c r="D55" s="9" t="s">
        <v>416</v>
      </c>
      <c r="E55" s="10">
        <v>2.5</v>
      </c>
      <c r="F55" s="10">
        <v>3.125</v>
      </c>
      <c r="G55" s="10">
        <v>3.75</v>
      </c>
      <c r="H55" s="10">
        <v>4.375</v>
      </c>
      <c r="I55" s="10">
        <v>5</v>
      </c>
    </row>
  </sheetData>
  <mergeCells count="3">
    <mergeCell ref="A1:I1"/>
    <mergeCell ref="A2:I2"/>
    <mergeCell ref="A3:I3"/>
  </mergeCells>
  <phoneticPr fontId="6" type="noConversion"/>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J13"/>
  <sheetViews>
    <sheetView showGridLines="0" workbookViewId="0"/>
  </sheetViews>
  <sheetFormatPr defaultRowHeight="14.25"/>
  <cols>
    <col min="1" max="1" width="36" customWidth="1"/>
    <col min="2" max="2" width="30" customWidth="1"/>
    <col min="3" max="3" width="34" customWidth="1"/>
    <col min="4" max="9" width="14" customWidth="1"/>
    <col min="10" max="10" width="76" customWidth="1"/>
  </cols>
  <sheetData>
    <row r="1" spans="1:10" ht="30" customHeight="1">
      <c r="A1" s="15" t="s">
        <v>1282</v>
      </c>
      <c r="B1" s="15"/>
      <c r="C1" s="15"/>
      <c r="D1" s="15"/>
      <c r="E1" s="15"/>
      <c r="F1" s="15"/>
      <c r="G1" s="15"/>
      <c r="H1" s="15"/>
      <c r="I1" s="15"/>
      <c r="J1" s="15"/>
    </row>
    <row r="2" spans="1:10" ht="36" customHeight="1">
      <c r="A2" s="16" t="s">
        <v>1283</v>
      </c>
      <c r="B2" s="16"/>
      <c r="C2" s="16"/>
      <c r="D2" s="16"/>
      <c r="E2" s="16"/>
      <c r="F2" s="16"/>
      <c r="G2" s="16"/>
      <c r="H2" s="16"/>
      <c r="I2" s="16"/>
      <c r="J2" s="16"/>
    </row>
    <row r="3" spans="1:10" ht="24" customHeight="1">
      <c r="A3" s="17" t="s">
        <v>1284</v>
      </c>
      <c r="B3" s="17"/>
      <c r="C3" s="17"/>
      <c r="D3" s="17"/>
      <c r="E3" s="17"/>
      <c r="F3" s="17"/>
      <c r="G3" s="17"/>
      <c r="H3" s="17"/>
      <c r="I3" s="17"/>
      <c r="J3" s="17"/>
    </row>
    <row r="4" spans="1:10" ht="36" customHeight="1">
      <c r="A4" s="13" t="s">
        <v>1285</v>
      </c>
      <c r="B4" s="13" t="s">
        <v>1286</v>
      </c>
      <c r="C4" s="13" t="s">
        <v>1287</v>
      </c>
      <c r="D4" s="13" t="s">
        <v>407</v>
      </c>
      <c r="E4" s="13" t="s">
        <v>408</v>
      </c>
      <c r="F4" s="13" t="s">
        <v>409</v>
      </c>
      <c r="G4" s="13" t="s">
        <v>410</v>
      </c>
      <c r="H4" s="13" t="s">
        <v>411</v>
      </c>
      <c r="I4" s="13" t="s">
        <v>412</v>
      </c>
      <c r="J4" s="13" t="s">
        <v>1288</v>
      </c>
    </row>
    <row r="5" spans="1:10">
      <c r="A5" s="9" t="s">
        <v>1289</v>
      </c>
      <c r="B5" s="9" t="s">
        <v>778</v>
      </c>
      <c r="C5" s="9" t="s">
        <v>1290</v>
      </c>
      <c r="D5" s="9" t="s">
        <v>416</v>
      </c>
      <c r="E5" s="10">
        <v>0.18</v>
      </c>
      <c r="F5" s="10">
        <v>0.21</v>
      </c>
      <c r="G5" s="10">
        <v>0.24</v>
      </c>
      <c r="H5" s="10">
        <v>0.27</v>
      </c>
      <c r="I5" s="10">
        <v>0.3</v>
      </c>
      <c r="J5" s="9" t="s">
        <v>1291</v>
      </c>
    </row>
    <row r="6" spans="1:10">
      <c r="A6" s="9" t="s">
        <v>1292</v>
      </c>
      <c r="B6" s="9" t="s">
        <v>782</v>
      </c>
      <c r="C6" s="9" t="s">
        <v>1293</v>
      </c>
      <c r="D6" s="9" t="s">
        <v>416</v>
      </c>
      <c r="E6" s="10">
        <v>0.2</v>
      </c>
      <c r="F6" s="10">
        <v>0.25</v>
      </c>
      <c r="G6" s="10">
        <v>0.3</v>
      </c>
      <c r="H6" s="10">
        <v>0.35</v>
      </c>
      <c r="I6" s="10">
        <v>0.4</v>
      </c>
      <c r="J6" s="9" t="s">
        <v>1291</v>
      </c>
    </row>
    <row r="7" spans="1:10">
      <c r="A7" s="9" t="s">
        <v>1294</v>
      </c>
      <c r="B7" s="9" t="s">
        <v>797</v>
      </c>
      <c r="C7" s="9" t="s">
        <v>798</v>
      </c>
      <c r="D7" s="9" t="s">
        <v>416</v>
      </c>
      <c r="E7" s="10">
        <v>0.15</v>
      </c>
      <c r="F7" s="10">
        <v>0.17499999999999999</v>
      </c>
      <c r="G7" s="10">
        <v>0.2</v>
      </c>
      <c r="H7" s="10">
        <v>0.22500000000000001</v>
      </c>
      <c r="I7" s="10">
        <v>0.25</v>
      </c>
      <c r="J7" s="9" t="s">
        <v>1291</v>
      </c>
    </row>
    <row r="8" spans="1:10">
      <c r="A8" s="9" t="s">
        <v>1295</v>
      </c>
      <c r="B8" s="9" t="s">
        <v>844</v>
      </c>
      <c r="C8" s="9" t="s">
        <v>845</v>
      </c>
      <c r="D8" s="9" t="s">
        <v>416</v>
      </c>
      <c r="E8" s="10">
        <v>0.6</v>
      </c>
      <c r="F8" s="10">
        <v>0.75</v>
      </c>
      <c r="G8" s="10">
        <v>0.9</v>
      </c>
      <c r="H8" s="10">
        <v>1.05</v>
      </c>
      <c r="I8" s="10">
        <v>1.2</v>
      </c>
      <c r="J8" s="9" t="s">
        <v>1291</v>
      </c>
    </row>
    <row r="9" spans="1:10">
      <c r="A9" s="9" t="s">
        <v>1296</v>
      </c>
      <c r="B9" s="9" t="s">
        <v>852</v>
      </c>
      <c r="C9" s="9" t="s">
        <v>1297</v>
      </c>
      <c r="D9" s="9" t="s">
        <v>416</v>
      </c>
      <c r="E9" s="10">
        <v>0.64</v>
      </c>
      <c r="F9" s="10">
        <v>0.8</v>
      </c>
      <c r="G9" s="10">
        <v>0.96</v>
      </c>
      <c r="H9" s="10">
        <v>1.1200000000000001</v>
      </c>
      <c r="I9" s="10">
        <v>1.28</v>
      </c>
      <c r="J9" s="9" t="s">
        <v>1291</v>
      </c>
    </row>
    <row r="10" spans="1:10">
      <c r="A10" s="9" t="s">
        <v>1298</v>
      </c>
      <c r="B10" s="9" t="s">
        <v>868</v>
      </c>
      <c r="C10" s="9" t="s">
        <v>845</v>
      </c>
      <c r="D10" s="9" t="s">
        <v>416</v>
      </c>
      <c r="E10" s="10">
        <v>0.6</v>
      </c>
      <c r="F10" s="10">
        <v>0.7</v>
      </c>
      <c r="G10" s="10">
        <v>0.8</v>
      </c>
      <c r="H10" s="10">
        <v>0.9</v>
      </c>
      <c r="I10" s="10">
        <v>1</v>
      </c>
      <c r="J10" s="9" t="s">
        <v>1291</v>
      </c>
    </row>
    <row r="11" spans="1:10">
      <c r="A11" s="9" t="s">
        <v>1299</v>
      </c>
      <c r="B11" s="9" t="s">
        <v>876</v>
      </c>
      <c r="C11" s="9" t="s">
        <v>1300</v>
      </c>
      <c r="D11" s="9" t="s">
        <v>416</v>
      </c>
      <c r="E11" s="10">
        <v>0.18</v>
      </c>
      <c r="F11" s="10">
        <v>0.21</v>
      </c>
      <c r="G11" s="10">
        <v>0.24</v>
      </c>
      <c r="H11" s="10">
        <v>0.27</v>
      </c>
      <c r="I11" s="10">
        <v>0.3</v>
      </c>
      <c r="J11" s="9" t="s">
        <v>1291</v>
      </c>
    </row>
    <row r="12" spans="1:10">
      <c r="A12" s="9" t="s">
        <v>1301</v>
      </c>
      <c r="B12" s="9" t="s">
        <v>889</v>
      </c>
      <c r="C12" s="9" t="s">
        <v>888</v>
      </c>
      <c r="D12" s="9" t="s">
        <v>416</v>
      </c>
      <c r="E12" s="10">
        <v>0.6</v>
      </c>
      <c r="F12" s="10">
        <v>0.75</v>
      </c>
      <c r="G12" s="10">
        <v>0.9</v>
      </c>
      <c r="H12" s="10">
        <v>1.05</v>
      </c>
      <c r="I12" s="10">
        <v>1.2</v>
      </c>
      <c r="J12" s="9" t="s">
        <v>1291</v>
      </c>
    </row>
    <row r="13" spans="1:10">
      <c r="A13" s="9" t="s">
        <v>1302</v>
      </c>
      <c r="B13" s="9" t="s">
        <v>899</v>
      </c>
      <c r="C13" s="9" t="s">
        <v>1300</v>
      </c>
      <c r="D13" s="9" t="s">
        <v>416</v>
      </c>
      <c r="E13" s="10">
        <v>0.18</v>
      </c>
      <c r="F13" s="10">
        <v>0.21</v>
      </c>
      <c r="G13" s="10">
        <v>0.24</v>
      </c>
      <c r="H13" s="10">
        <v>0.27</v>
      </c>
      <c r="I13" s="10">
        <v>0.3</v>
      </c>
      <c r="J13" s="9" t="s">
        <v>1291</v>
      </c>
    </row>
  </sheetData>
  <mergeCells count="3">
    <mergeCell ref="A1:J1"/>
    <mergeCell ref="A2:J2"/>
    <mergeCell ref="A3:J3"/>
  </mergeCells>
  <phoneticPr fontId="6" type="noConversion"/>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1"/>
  <sheetViews>
    <sheetView showGridLines="0" workbookViewId="0"/>
  </sheetViews>
  <sheetFormatPr defaultRowHeight="14.25"/>
  <cols>
    <col min="1" max="2" width="28" customWidth="1"/>
    <col min="3" max="3" width="42" customWidth="1"/>
    <col min="4" max="4" width="14" customWidth="1"/>
    <col min="5" max="5" width="16" customWidth="1"/>
    <col min="6" max="6" width="14" customWidth="1"/>
    <col min="7" max="7" width="28" customWidth="1"/>
    <col min="8" max="8" width="40" customWidth="1"/>
    <col min="9" max="9" width="64" customWidth="1"/>
    <col min="10" max="10" width="38" customWidth="1"/>
    <col min="11" max="11" width="58" customWidth="1"/>
    <col min="12" max="12" width="62" customWidth="1"/>
  </cols>
  <sheetData>
    <row r="1" spans="1:9" ht="30" customHeight="1">
      <c r="A1" s="22" t="s">
        <v>524</v>
      </c>
      <c r="B1" s="22"/>
      <c r="C1" s="22"/>
      <c r="D1" s="22"/>
      <c r="E1" s="22"/>
      <c r="F1" s="22"/>
      <c r="G1" s="22"/>
      <c r="H1" s="22"/>
      <c r="I1" s="22"/>
    </row>
    <row r="2" spans="1:9" ht="36" customHeight="1">
      <c r="A2" s="11" t="s">
        <v>525</v>
      </c>
      <c r="B2" s="11" t="s">
        <v>526</v>
      </c>
      <c r="C2" s="11" t="s">
        <v>527</v>
      </c>
      <c r="D2" s="11" t="s">
        <v>528</v>
      </c>
      <c r="E2" s="11" t="s">
        <v>529</v>
      </c>
      <c r="F2" s="11" t="s">
        <v>530</v>
      </c>
      <c r="G2" s="11" t="s">
        <v>531</v>
      </c>
      <c r="H2" s="11" t="s">
        <v>532</v>
      </c>
      <c r="I2" s="11" t="s">
        <v>533</v>
      </c>
    </row>
    <row r="3" spans="1:9">
      <c r="A3" s="9" t="s">
        <v>534</v>
      </c>
      <c r="B3" s="9" t="s">
        <v>535</v>
      </c>
      <c r="C3" s="9" t="s">
        <v>536</v>
      </c>
      <c r="D3" s="9" t="s">
        <v>537</v>
      </c>
      <c r="E3" s="9" t="s">
        <v>538</v>
      </c>
      <c r="F3" s="9" t="s">
        <v>421</v>
      </c>
      <c r="G3" s="9" t="s">
        <v>539</v>
      </c>
      <c r="H3" s="9" t="s">
        <v>540</v>
      </c>
      <c r="I3" s="9" t="s">
        <v>541</v>
      </c>
    </row>
    <row r="4" spans="1:9">
      <c r="A4" s="9" t="s">
        <v>542</v>
      </c>
      <c r="B4" s="9" t="s">
        <v>543</v>
      </c>
      <c r="C4" s="9" t="s">
        <v>536</v>
      </c>
      <c r="D4" s="9" t="s">
        <v>544</v>
      </c>
      <c r="E4" s="9" t="s">
        <v>464</v>
      </c>
      <c r="F4" s="9" t="s">
        <v>421</v>
      </c>
      <c r="G4" s="9" t="s">
        <v>539</v>
      </c>
      <c r="H4" s="9" t="s">
        <v>545</v>
      </c>
      <c r="I4" s="9" t="s">
        <v>546</v>
      </c>
    </row>
    <row r="5" spans="1:9">
      <c r="A5" s="9" t="s">
        <v>547</v>
      </c>
      <c r="B5" s="9" t="s">
        <v>548</v>
      </c>
      <c r="C5" s="9" t="s">
        <v>549</v>
      </c>
      <c r="D5" s="9" t="s">
        <v>424</v>
      </c>
      <c r="E5" s="9" t="s">
        <v>464</v>
      </c>
      <c r="F5" s="9" t="s">
        <v>421</v>
      </c>
      <c r="G5" s="9" t="s">
        <v>539</v>
      </c>
      <c r="H5" s="9" t="s">
        <v>545</v>
      </c>
      <c r="I5" s="9" t="s">
        <v>550</v>
      </c>
    </row>
    <row r="6" spans="1:9">
      <c r="A6" s="9" t="s">
        <v>551</v>
      </c>
      <c r="B6" s="9" t="s">
        <v>552</v>
      </c>
      <c r="C6" s="9" t="s">
        <v>553</v>
      </c>
      <c r="D6" s="9" t="s">
        <v>424</v>
      </c>
      <c r="E6" s="9" t="s">
        <v>464</v>
      </c>
      <c r="F6" s="9" t="s">
        <v>537</v>
      </c>
      <c r="G6" s="9" t="s">
        <v>554</v>
      </c>
      <c r="H6" s="9" t="s">
        <v>545</v>
      </c>
      <c r="I6" s="9" t="s">
        <v>555</v>
      </c>
    </row>
    <row r="7" spans="1:9">
      <c r="A7" s="9" t="s">
        <v>556</v>
      </c>
      <c r="B7" s="9" t="s">
        <v>557</v>
      </c>
      <c r="C7" s="9" t="s">
        <v>558</v>
      </c>
      <c r="D7" s="9" t="s">
        <v>428</v>
      </c>
      <c r="E7" s="9" t="s">
        <v>464</v>
      </c>
      <c r="F7" s="9" t="s">
        <v>559</v>
      </c>
      <c r="G7" s="9" t="s">
        <v>560</v>
      </c>
      <c r="H7" s="9" t="s">
        <v>545</v>
      </c>
      <c r="I7" s="9" t="s">
        <v>561</v>
      </c>
    </row>
    <row r="8" spans="1:9">
      <c r="A8" s="9" t="s">
        <v>562</v>
      </c>
      <c r="B8" s="9" t="s">
        <v>563</v>
      </c>
      <c r="C8" s="9" t="s">
        <v>564</v>
      </c>
      <c r="D8" s="9" t="s">
        <v>537</v>
      </c>
      <c r="E8" s="9" t="s">
        <v>537</v>
      </c>
      <c r="F8" s="9" t="s">
        <v>537</v>
      </c>
      <c r="G8" s="9" t="s">
        <v>565</v>
      </c>
      <c r="H8" s="9" t="s">
        <v>554</v>
      </c>
      <c r="I8" s="9" t="s">
        <v>566</v>
      </c>
    </row>
    <row r="9" spans="1:9">
      <c r="A9" s="9" t="s">
        <v>567</v>
      </c>
      <c r="B9" s="9" t="s">
        <v>568</v>
      </c>
      <c r="C9" s="9" t="s">
        <v>564</v>
      </c>
      <c r="D9" s="9" t="s">
        <v>537</v>
      </c>
      <c r="E9" s="9" t="s">
        <v>537</v>
      </c>
      <c r="F9" s="9" t="s">
        <v>537</v>
      </c>
      <c r="G9" s="9" t="s">
        <v>565</v>
      </c>
      <c r="H9" s="9" t="s">
        <v>554</v>
      </c>
      <c r="I9" s="9" t="s">
        <v>569</v>
      </c>
    </row>
    <row r="10" spans="1:9">
      <c r="A10" s="9" t="s">
        <v>570</v>
      </c>
      <c r="B10" s="9" t="s">
        <v>571</v>
      </c>
      <c r="C10" s="9" t="s">
        <v>572</v>
      </c>
      <c r="D10" s="9" t="s">
        <v>421</v>
      </c>
      <c r="E10" s="9" t="s">
        <v>464</v>
      </c>
      <c r="F10" s="9" t="s">
        <v>559</v>
      </c>
      <c r="G10" s="9" t="s">
        <v>573</v>
      </c>
      <c r="H10" s="9" t="s">
        <v>545</v>
      </c>
      <c r="I10" s="9" t="s">
        <v>574</v>
      </c>
    </row>
    <row r="11" spans="1:9">
      <c r="A11" s="9" t="s">
        <v>575</v>
      </c>
      <c r="B11" s="9" t="s">
        <v>576</v>
      </c>
      <c r="C11" s="9" t="s">
        <v>572</v>
      </c>
      <c r="D11" s="9" t="s">
        <v>428</v>
      </c>
      <c r="E11" s="9" t="s">
        <v>464</v>
      </c>
      <c r="F11" s="9" t="s">
        <v>559</v>
      </c>
      <c r="G11" s="9" t="s">
        <v>573</v>
      </c>
      <c r="H11" s="9" t="s">
        <v>545</v>
      </c>
      <c r="I11" s="9" t="s">
        <v>577</v>
      </c>
    </row>
  </sheetData>
  <mergeCells count="1">
    <mergeCell ref="A1:I1"/>
  </mergeCells>
  <phoneticPr fontId="6" type="noConversion"/>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39"/>
  <sheetViews>
    <sheetView showGridLines="0" workbookViewId="0"/>
  </sheetViews>
  <sheetFormatPr defaultRowHeight="14.25"/>
  <cols>
    <col min="1" max="1" width="30" customWidth="1"/>
    <col min="2" max="2" width="12" customWidth="1"/>
    <col min="3" max="3" width="26" customWidth="1"/>
    <col min="4" max="4" width="44" customWidth="1"/>
    <col min="5" max="5" width="38" customWidth="1"/>
    <col min="6" max="6" width="44" customWidth="1"/>
    <col min="7" max="7" width="74" customWidth="1"/>
    <col min="8" max="8" width="36" customWidth="1"/>
    <col min="9" max="9" width="42" customWidth="1"/>
    <col min="10" max="10" width="72" customWidth="1"/>
  </cols>
  <sheetData>
    <row r="1" spans="1:7" ht="30" customHeight="1">
      <c r="A1" s="22" t="s">
        <v>578</v>
      </c>
      <c r="B1" s="22"/>
      <c r="C1" s="22"/>
      <c r="D1" s="22"/>
      <c r="E1" s="22"/>
      <c r="F1" s="22"/>
      <c r="G1" s="22"/>
    </row>
    <row r="2" spans="1:7" ht="36" customHeight="1">
      <c r="A2" s="23" t="s">
        <v>579</v>
      </c>
      <c r="B2" s="23"/>
      <c r="C2" s="23"/>
      <c r="D2" s="23"/>
      <c r="E2" s="23"/>
      <c r="F2" s="23"/>
      <c r="G2" s="23"/>
    </row>
    <row r="3" spans="1:7" ht="24" customHeight="1">
      <c r="A3" s="24" t="s">
        <v>580</v>
      </c>
      <c r="B3" s="24"/>
      <c r="C3" s="24"/>
      <c r="D3" s="24"/>
      <c r="E3" s="24"/>
      <c r="F3" s="24"/>
      <c r="G3" s="24"/>
    </row>
    <row r="4" spans="1:7" ht="36" customHeight="1">
      <c r="A4" s="11" t="s">
        <v>581</v>
      </c>
      <c r="B4" s="11" t="s">
        <v>582</v>
      </c>
      <c r="C4" s="11" t="s">
        <v>583</v>
      </c>
      <c r="D4" s="11" t="s">
        <v>584</v>
      </c>
      <c r="E4" s="11" t="s">
        <v>585</v>
      </c>
      <c r="F4" s="11" t="s">
        <v>586</v>
      </c>
      <c r="G4" s="11" t="s">
        <v>587</v>
      </c>
    </row>
    <row r="5" spans="1:7">
      <c r="A5" s="9" t="s">
        <v>588</v>
      </c>
      <c r="B5" s="9">
        <v>1</v>
      </c>
      <c r="C5" s="9" t="s">
        <v>589</v>
      </c>
      <c r="D5" s="9" t="s">
        <v>590</v>
      </c>
      <c r="E5" s="9" t="s">
        <v>536</v>
      </c>
      <c r="F5" s="9" t="s">
        <v>536</v>
      </c>
      <c r="G5" s="9" t="s">
        <v>591</v>
      </c>
    </row>
    <row r="6" spans="1:7">
      <c r="A6" s="9" t="s">
        <v>592</v>
      </c>
      <c r="B6" s="9">
        <v>2</v>
      </c>
      <c r="C6" s="9" t="s">
        <v>593</v>
      </c>
      <c r="D6" s="9" t="s">
        <v>594</v>
      </c>
      <c r="E6" s="9" t="s">
        <v>536</v>
      </c>
      <c r="F6" s="9" t="s">
        <v>595</v>
      </c>
      <c r="G6" s="9" t="s">
        <v>596</v>
      </c>
    </row>
    <row r="7" spans="1:7">
      <c r="A7" s="9" t="s">
        <v>597</v>
      </c>
      <c r="B7" s="9">
        <v>1</v>
      </c>
      <c r="C7" s="9" t="s">
        <v>589</v>
      </c>
      <c r="D7" s="9" t="s">
        <v>590</v>
      </c>
      <c r="E7" s="9" t="s">
        <v>536</v>
      </c>
      <c r="F7" s="9" t="s">
        <v>536</v>
      </c>
      <c r="G7" s="9" t="s">
        <v>434</v>
      </c>
    </row>
    <row r="8" spans="1:7">
      <c r="A8" s="9" t="s">
        <v>598</v>
      </c>
      <c r="B8" s="9">
        <v>2</v>
      </c>
      <c r="C8" s="9" t="s">
        <v>599</v>
      </c>
      <c r="D8" s="9" t="s">
        <v>600</v>
      </c>
      <c r="E8" s="9" t="s">
        <v>536</v>
      </c>
      <c r="F8" s="9" t="s">
        <v>536</v>
      </c>
      <c r="G8" s="9" t="s">
        <v>601</v>
      </c>
    </row>
    <row r="9" spans="1:7">
      <c r="A9" s="9" t="s">
        <v>602</v>
      </c>
      <c r="B9" s="9">
        <v>3</v>
      </c>
      <c r="C9" s="9" t="s">
        <v>603</v>
      </c>
      <c r="D9" s="9" t="s">
        <v>604</v>
      </c>
      <c r="E9" s="9" t="s">
        <v>536</v>
      </c>
      <c r="F9" s="9" t="s">
        <v>535</v>
      </c>
      <c r="G9" s="9" t="s">
        <v>605</v>
      </c>
    </row>
    <row r="10" spans="1:7">
      <c r="A10" s="9" t="s">
        <v>606</v>
      </c>
      <c r="B10" s="9">
        <v>4</v>
      </c>
      <c r="C10" s="9" t="s">
        <v>607</v>
      </c>
      <c r="D10" s="9" t="s">
        <v>608</v>
      </c>
      <c r="E10" s="9" t="s">
        <v>536</v>
      </c>
      <c r="F10" s="9" t="s">
        <v>609</v>
      </c>
      <c r="G10" s="9" t="s">
        <v>610</v>
      </c>
    </row>
    <row r="11" spans="1:7">
      <c r="A11" s="9" t="s">
        <v>611</v>
      </c>
      <c r="B11" s="9">
        <v>1</v>
      </c>
      <c r="C11" s="9" t="s">
        <v>612</v>
      </c>
      <c r="D11" s="9" t="s">
        <v>613</v>
      </c>
      <c r="E11" s="9" t="s">
        <v>536</v>
      </c>
      <c r="F11" s="9" t="s">
        <v>609</v>
      </c>
      <c r="G11" s="9" t="s">
        <v>614</v>
      </c>
    </row>
    <row r="12" spans="1:7">
      <c r="A12" s="9" t="s">
        <v>615</v>
      </c>
      <c r="B12" s="9">
        <v>2</v>
      </c>
      <c r="C12" s="9" t="s">
        <v>616</v>
      </c>
      <c r="D12" s="9" t="s">
        <v>617</v>
      </c>
      <c r="E12" s="9" t="s">
        <v>536</v>
      </c>
      <c r="F12" s="9" t="s">
        <v>536</v>
      </c>
      <c r="G12" s="9" t="s">
        <v>618</v>
      </c>
    </row>
    <row r="13" spans="1:7">
      <c r="A13" s="9" t="s">
        <v>619</v>
      </c>
      <c r="B13" s="9">
        <v>3</v>
      </c>
      <c r="C13" s="9" t="s">
        <v>607</v>
      </c>
      <c r="D13" s="9" t="s">
        <v>620</v>
      </c>
      <c r="E13" s="9" t="s">
        <v>536</v>
      </c>
      <c r="F13" s="9" t="s">
        <v>609</v>
      </c>
      <c r="G13" s="9" t="s">
        <v>621</v>
      </c>
    </row>
    <row r="14" spans="1:7">
      <c r="A14" s="9" t="s">
        <v>622</v>
      </c>
      <c r="B14" s="9">
        <v>4</v>
      </c>
      <c r="C14" s="9" t="s">
        <v>607</v>
      </c>
      <c r="D14" s="9" t="s">
        <v>623</v>
      </c>
      <c r="E14" s="9" t="s">
        <v>536</v>
      </c>
      <c r="F14" s="9" t="s">
        <v>609</v>
      </c>
      <c r="G14" s="9" t="s">
        <v>624</v>
      </c>
    </row>
    <row r="15" spans="1:7">
      <c r="A15" s="9" t="s">
        <v>625</v>
      </c>
      <c r="B15" s="9">
        <v>1</v>
      </c>
      <c r="C15" s="9" t="s">
        <v>616</v>
      </c>
      <c r="D15" s="9" t="s">
        <v>594</v>
      </c>
      <c r="E15" s="9" t="s">
        <v>536</v>
      </c>
      <c r="F15" s="9" t="s">
        <v>626</v>
      </c>
      <c r="G15" s="9" t="s">
        <v>627</v>
      </c>
    </row>
    <row r="16" spans="1:7">
      <c r="A16" s="9" t="s">
        <v>628</v>
      </c>
      <c r="B16" s="9">
        <v>2</v>
      </c>
      <c r="C16" s="9" t="s">
        <v>629</v>
      </c>
      <c r="D16" s="9" t="s">
        <v>630</v>
      </c>
      <c r="E16" s="9" t="s">
        <v>536</v>
      </c>
      <c r="F16" s="9" t="s">
        <v>631</v>
      </c>
      <c r="G16" s="9" t="s">
        <v>632</v>
      </c>
    </row>
    <row r="17" spans="1:7">
      <c r="A17" s="9" t="s">
        <v>633</v>
      </c>
      <c r="B17" s="9">
        <v>3</v>
      </c>
      <c r="C17" s="9" t="s">
        <v>607</v>
      </c>
      <c r="D17" s="9" t="s">
        <v>634</v>
      </c>
      <c r="E17" s="9" t="s">
        <v>635</v>
      </c>
      <c r="F17" s="9" t="s">
        <v>609</v>
      </c>
      <c r="G17" s="9" t="s">
        <v>636</v>
      </c>
    </row>
    <row r="18" spans="1:7">
      <c r="A18" s="9" t="s">
        <v>637</v>
      </c>
      <c r="B18" s="9">
        <v>1</v>
      </c>
      <c r="C18" s="9" t="s">
        <v>589</v>
      </c>
      <c r="D18" s="9" t="s">
        <v>590</v>
      </c>
      <c r="E18" s="9" t="s">
        <v>536</v>
      </c>
      <c r="F18" s="9" t="s">
        <v>536</v>
      </c>
      <c r="G18" s="9" t="s">
        <v>469</v>
      </c>
    </row>
    <row r="19" spans="1:7">
      <c r="A19" s="9" t="s">
        <v>638</v>
      </c>
      <c r="B19" s="9">
        <v>2</v>
      </c>
      <c r="C19" s="9" t="s">
        <v>639</v>
      </c>
      <c r="D19" s="9" t="s">
        <v>640</v>
      </c>
      <c r="E19" s="9" t="s">
        <v>536</v>
      </c>
      <c r="F19" s="9" t="s">
        <v>641</v>
      </c>
      <c r="G19" s="9" t="s">
        <v>642</v>
      </c>
    </row>
    <row r="20" spans="1:7">
      <c r="A20" s="9" t="s">
        <v>643</v>
      </c>
      <c r="B20" s="9">
        <v>3</v>
      </c>
      <c r="C20" s="9" t="s">
        <v>644</v>
      </c>
      <c r="D20" s="9" t="s">
        <v>645</v>
      </c>
      <c r="E20" s="9" t="s">
        <v>536</v>
      </c>
      <c r="F20" s="9" t="s">
        <v>631</v>
      </c>
      <c r="G20" s="9" t="s">
        <v>646</v>
      </c>
    </row>
    <row r="21" spans="1:7">
      <c r="A21" s="9" t="s">
        <v>647</v>
      </c>
      <c r="B21" s="9">
        <v>4</v>
      </c>
      <c r="C21" s="9" t="s">
        <v>616</v>
      </c>
      <c r="D21" s="9" t="s">
        <v>648</v>
      </c>
      <c r="E21" s="9" t="s">
        <v>536</v>
      </c>
      <c r="F21" s="9" t="s">
        <v>649</v>
      </c>
      <c r="G21" s="9" t="s">
        <v>650</v>
      </c>
    </row>
    <row r="22" spans="1:7">
      <c r="A22" s="9" t="s">
        <v>651</v>
      </c>
      <c r="B22" s="9">
        <v>1</v>
      </c>
      <c r="C22" s="9" t="s">
        <v>589</v>
      </c>
      <c r="D22" s="9" t="s">
        <v>590</v>
      </c>
      <c r="E22" s="9" t="s">
        <v>536</v>
      </c>
      <c r="F22" s="9" t="s">
        <v>536</v>
      </c>
      <c r="G22" s="9" t="s">
        <v>473</v>
      </c>
    </row>
    <row r="23" spans="1:7">
      <c r="A23" s="9" t="s">
        <v>652</v>
      </c>
      <c r="B23" s="9">
        <v>2</v>
      </c>
      <c r="C23" s="9" t="s">
        <v>616</v>
      </c>
      <c r="D23" s="9" t="s">
        <v>648</v>
      </c>
      <c r="E23" s="9" t="s">
        <v>536</v>
      </c>
      <c r="F23" s="9" t="s">
        <v>653</v>
      </c>
      <c r="G23" s="9" t="s">
        <v>654</v>
      </c>
    </row>
    <row r="24" spans="1:7">
      <c r="A24" s="9" t="s">
        <v>655</v>
      </c>
      <c r="B24" s="9">
        <v>3</v>
      </c>
      <c r="C24" s="9" t="s">
        <v>607</v>
      </c>
      <c r="D24" s="9" t="s">
        <v>656</v>
      </c>
      <c r="E24" s="9" t="s">
        <v>635</v>
      </c>
      <c r="F24" s="9" t="s">
        <v>609</v>
      </c>
      <c r="G24" s="9" t="s">
        <v>657</v>
      </c>
    </row>
    <row r="25" spans="1:7">
      <c r="A25" s="9" t="s">
        <v>658</v>
      </c>
      <c r="B25" s="9">
        <v>1</v>
      </c>
      <c r="C25" s="9" t="s">
        <v>589</v>
      </c>
      <c r="D25" s="9" t="s">
        <v>590</v>
      </c>
      <c r="E25" s="9" t="s">
        <v>536</v>
      </c>
      <c r="F25" s="9" t="s">
        <v>536</v>
      </c>
      <c r="G25" s="9" t="s">
        <v>469</v>
      </c>
    </row>
    <row r="26" spans="1:7">
      <c r="A26" s="9" t="s">
        <v>659</v>
      </c>
      <c r="B26" s="9">
        <v>2</v>
      </c>
      <c r="C26" s="9" t="s">
        <v>660</v>
      </c>
      <c r="D26" s="9" t="s">
        <v>648</v>
      </c>
      <c r="E26" s="9" t="s">
        <v>536</v>
      </c>
      <c r="F26" s="9" t="s">
        <v>661</v>
      </c>
      <c r="G26" s="9" t="s">
        <v>662</v>
      </c>
    </row>
    <row r="27" spans="1:7">
      <c r="A27" s="9" t="s">
        <v>663</v>
      </c>
      <c r="B27" s="9">
        <v>3</v>
      </c>
      <c r="C27" s="9" t="s">
        <v>664</v>
      </c>
      <c r="D27" s="9" t="s">
        <v>665</v>
      </c>
      <c r="E27" s="9" t="s">
        <v>666</v>
      </c>
      <c r="F27" s="9" t="s">
        <v>667</v>
      </c>
      <c r="G27" s="9" t="s">
        <v>668</v>
      </c>
    </row>
    <row r="28" spans="1:7">
      <c r="A28" s="9" t="s">
        <v>669</v>
      </c>
      <c r="B28" s="9">
        <v>1</v>
      </c>
      <c r="C28" s="9" t="s">
        <v>589</v>
      </c>
      <c r="D28" s="9" t="s">
        <v>590</v>
      </c>
      <c r="E28" s="9" t="s">
        <v>536</v>
      </c>
      <c r="F28" s="9" t="s">
        <v>536</v>
      </c>
      <c r="G28" s="9" t="s">
        <v>494</v>
      </c>
    </row>
    <row r="29" spans="1:7">
      <c r="A29" s="9" t="s">
        <v>670</v>
      </c>
      <c r="B29" s="9">
        <v>2</v>
      </c>
      <c r="C29" s="9" t="s">
        <v>616</v>
      </c>
      <c r="D29" s="9" t="s">
        <v>671</v>
      </c>
      <c r="E29" s="9" t="s">
        <v>564</v>
      </c>
      <c r="F29" s="9" t="s">
        <v>672</v>
      </c>
      <c r="G29" s="9" t="s">
        <v>673</v>
      </c>
    </row>
    <row r="30" spans="1:7">
      <c r="A30" s="9" t="s">
        <v>674</v>
      </c>
      <c r="B30" s="9">
        <v>3</v>
      </c>
      <c r="C30" s="9" t="s">
        <v>616</v>
      </c>
      <c r="D30" s="9" t="s">
        <v>671</v>
      </c>
      <c r="E30" s="9" t="s">
        <v>564</v>
      </c>
      <c r="F30" s="9" t="s">
        <v>675</v>
      </c>
      <c r="G30" s="9" t="s">
        <v>676</v>
      </c>
    </row>
    <row r="31" spans="1:7">
      <c r="A31" s="9" t="s">
        <v>677</v>
      </c>
      <c r="B31" s="9">
        <v>4</v>
      </c>
      <c r="C31" s="9" t="s">
        <v>664</v>
      </c>
      <c r="D31" s="9" t="s">
        <v>678</v>
      </c>
      <c r="E31" s="9" t="s">
        <v>679</v>
      </c>
      <c r="F31" s="9" t="s">
        <v>572</v>
      </c>
      <c r="G31" s="9" t="s">
        <v>680</v>
      </c>
    </row>
    <row r="32" spans="1:7">
      <c r="A32" s="9" t="s">
        <v>681</v>
      </c>
      <c r="B32" s="9">
        <v>5</v>
      </c>
      <c r="C32" s="9" t="s">
        <v>682</v>
      </c>
      <c r="D32" s="9" t="s">
        <v>683</v>
      </c>
      <c r="E32" s="9" t="s">
        <v>684</v>
      </c>
      <c r="F32" s="9" t="s">
        <v>553</v>
      </c>
      <c r="G32" s="9" t="s">
        <v>685</v>
      </c>
    </row>
    <row r="33" spans="1:7">
      <c r="A33" s="9" t="s">
        <v>686</v>
      </c>
      <c r="B33" s="9">
        <v>1</v>
      </c>
      <c r="C33" s="9" t="s">
        <v>589</v>
      </c>
      <c r="D33" s="9" t="s">
        <v>590</v>
      </c>
      <c r="E33" s="9" t="s">
        <v>536</v>
      </c>
      <c r="F33" s="9" t="s">
        <v>536</v>
      </c>
      <c r="G33" s="9" t="s">
        <v>687</v>
      </c>
    </row>
    <row r="34" spans="1:7">
      <c r="A34" s="9" t="s">
        <v>688</v>
      </c>
      <c r="B34" s="9">
        <v>2</v>
      </c>
      <c r="C34" s="9" t="s">
        <v>689</v>
      </c>
      <c r="D34" s="9" t="s">
        <v>690</v>
      </c>
      <c r="E34" s="9" t="s">
        <v>536</v>
      </c>
      <c r="F34" s="9" t="s">
        <v>536</v>
      </c>
      <c r="G34" s="9" t="s">
        <v>691</v>
      </c>
    </row>
    <row r="35" spans="1:7">
      <c r="A35" s="9" t="s">
        <v>692</v>
      </c>
      <c r="B35" s="9">
        <v>3</v>
      </c>
      <c r="C35" s="9" t="s">
        <v>616</v>
      </c>
      <c r="D35" s="9" t="s">
        <v>693</v>
      </c>
      <c r="E35" s="9" t="s">
        <v>536</v>
      </c>
      <c r="F35" s="9" t="s">
        <v>572</v>
      </c>
      <c r="G35" s="9" t="s">
        <v>694</v>
      </c>
    </row>
    <row r="36" spans="1:7">
      <c r="A36" s="9" t="s">
        <v>695</v>
      </c>
      <c r="B36" s="9">
        <v>1</v>
      </c>
      <c r="C36" s="9" t="s">
        <v>589</v>
      </c>
      <c r="D36" s="9" t="s">
        <v>590</v>
      </c>
      <c r="E36" s="9" t="s">
        <v>536</v>
      </c>
      <c r="F36" s="9" t="s">
        <v>536</v>
      </c>
      <c r="G36" s="9" t="s">
        <v>494</v>
      </c>
    </row>
    <row r="37" spans="1:7">
      <c r="A37" s="9" t="s">
        <v>696</v>
      </c>
      <c r="B37" s="9">
        <v>2</v>
      </c>
      <c r="C37" s="9" t="s">
        <v>616</v>
      </c>
      <c r="D37" s="9" t="s">
        <v>697</v>
      </c>
      <c r="E37" s="9" t="s">
        <v>536</v>
      </c>
      <c r="F37" s="9" t="s">
        <v>553</v>
      </c>
      <c r="G37" s="9" t="s">
        <v>698</v>
      </c>
    </row>
    <row r="38" spans="1:7">
      <c r="A38" s="9" t="s">
        <v>699</v>
      </c>
      <c r="B38" s="9">
        <v>3</v>
      </c>
      <c r="C38" s="9" t="s">
        <v>700</v>
      </c>
      <c r="D38" s="9" t="s">
        <v>701</v>
      </c>
      <c r="E38" s="9" t="s">
        <v>564</v>
      </c>
      <c r="F38" s="9" t="s">
        <v>702</v>
      </c>
      <c r="G38" s="9" t="s">
        <v>703</v>
      </c>
    </row>
    <row r="39" spans="1:7">
      <c r="A39" s="9" t="s">
        <v>704</v>
      </c>
      <c r="B39" s="9">
        <v>4</v>
      </c>
      <c r="C39" s="9" t="s">
        <v>616</v>
      </c>
      <c r="D39" s="9" t="s">
        <v>671</v>
      </c>
      <c r="E39" s="9" t="s">
        <v>564</v>
      </c>
      <c r="F39" s="9" t="s">
        <v>572</v>
      </c>
      <c r="G39" s="9" t="s">
        <v>694</v>
      </c>
    </row>
  </sheetData>
  <mergeCells count="3">
    <mergeCell ref="A1:G1"/>
    <mergeCell ref="A2:G2"/>
    <mergeCell ref="A3:G3"/>
  </mergeCells>
  <phoneticPr fontId="6" type="noConversion"/>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G16"/>
  <sheetViews>
    <sheetView showGridLines="0" workbookViewId="0"/>
  </sheetViews>
  <sheetFormatPr defaultRowHeight="14.25"/>
  <cols>
    <col min="1" max="1" width="32" customWidth="1"/>
    <col min="2" max="2" width="30" customWidth="1"/>
    <col min="3" max="3" width="50" customWidth="1"/>
    <col min="4" max="4" width="16" customWidth="1"/>
    <col min="5" max="6" width="22" customWidth="1"/>
    <col min="7" max="7" width="60" customWidth="1"/>
    <col min="8" max="9" width="22" customWidth="1"/>
    <col min="10" max="10" width="58" customWidth="1"/>
  </cols>
  <sheetData>
    <row r="1" spans="1:7" ht="30" customHeight="1">
      <c r="A1" s="22" t="s">
        <v>705</v>
      </c>
      <c r="B1" s="22"/>
      <c r="C1" s="22"/>
      <c r="D1" s="22"/>
      <c r="E1" s="22"/>
      <c r="F1" s="22"/>
      <c r="G1" s="22"/>
    </row>
    <row r="2" spans="1:7" ht="36" customHeight="1">
      <c r="A2" s="23" t="s">
        <v>706</v>
      </c>
      <c r="B2" s="23"/>
      <c r="C2" s="23"/>
      <c r="D2" s="23"/>
      <c r="E2" s="23"/>
      <c r="F2" s="23"/>
      <c r="G2" s="23"/>
    </row>
    <row r="3" spans="1:7" ht="24" customHeight="1">
      <c r="A3" s="24" t="s">
        <v>707</v>
      </c>
      <c r="B3" s="24"/>
      <c r="C3" s="24"/>
      <c r="D3" s="24"/>
      <c r="E3" s="24"/>
      <c r="F3" s="24"/>
      <c r="G3" s="24"/>
    </row>
    <row r="4" spans="1:7" ht="36" customHeight="1">
      <c r="A4" s="11" t="s">
        <v>708</v>
      </c>
      <c r="B4" s="11" t="s">
        <v>709</v>
      </c>
      <c r="C4" s="11" t="s">
        <v>710</v>
      </c>
      <c r="D4" s="11" t="s">
        <v>711</v>
      </c>
      <c r="E4" s="11" t="s">
        <v>712</v>
      </c>
      <c r="F4" s="11" t="s">
        <v>713</v>
      </c>
      <c r="G4" s="11" t="s">
        <v>714</v>
      </c>
    </row>
    <row r="5" spans="1:7">
      <c r="A5" s="9" t="s">
        <v>715</v>
      </c>
      <c r="B5" s="9" t="s">
        <v>716</v>
      </c>
      <c r="C5" s="9" t="s">
        <v>717</v>
      </c>
      <c r="D5" s="9" t="s">
        <v>718</v>
      </c>
      <c r="E5" s="12" t="s">
        <v>424</v>
      </c>
      <c r="F5" s="9" t="s">
        <v>719</v>
      </c>
      <c r="G5" s="9" t="s">
        <v>720</v>
      </c>
    </row>
    <row r="6" spans="1:7">
      <c r="A6" s="9" t="s">
        <v>721</v>
      </c>
      <c r="B6" s="9" t="s">
        <v>722</v>
      </c>
      <c r="C6" s="9" t="s">
        <v>723</v>
      </c>
      <c r="D6" s="9" t="s">
        <v>724</v>
      </c>
      <c r="E6" s="12">
        <v>1</v>
      </c>
      <c r="F6" s="9" t="s">
        <v>725</v>
      </c>
      <c r="G6" s="9" t="s">
        <v>726</v>
      </c>
    </row>
    <row r="7" spans="1:7">
      <c r="A7" s="9" t="s">
        <v>727</v>
      </c>
      <c r="B7" s="9" t="s">
        <v>728</v>
      </c>
      <c r="C7" s="9" t="s">
        <v>729</v>
      </c>
      <c r="D7" s="9" t="s">
        <v>718</v>
      </c>
      <c r="E7" s="12">
        <v>0</v>
      </c>
      <c r="F7" s="9" t="s">
        <v>725</v>
      </c>
      <c r="G7" s="9" t="s">
        <v>730</v>
      </c>
    </row>
    <row r="8" spans="1:7">
      <c r="A8" s="9" t="s">
        <v>731</v>
      </c>
      <c r="B8" s="9" t="s">
        <v>732</v>
      </c>
      <c r="C8" s="9" t="s">
        <v>733</v>
      </c>
      <c r="D8" s="9" t="s">
        <v>724</v>
      </c>
      <c r="E8" s="12" t="s">
        <v>428</v>
      </c>
      <c r="F8" s="9" t="s">
        <v>719</v>
      </c>
      <c r="G8" s="9" t="s">
        <v>734</v>
      </c>
    </row>
    <row r="9" spans="1:7">
      <c r="A9" s="9" t="s">
        <v>735</v>
      </c>
      <c r="B9" s="9" t="s">
        <v>736</v>
      </c>
      <c r="C9" s="9" t="s">
        <v>737</v>
      </c>
      <c r="D9" s="9" t="s">
        <v>738</v>
      </c>
      <c r="E9" s="12" t="s">
        <v>672</v>
      </c>
      <c r="F9" s="9" t="s">
        <v>725</v>
      </c>
      <c r="G9" s="9" t="s">
        <v>739</v>
      </c>
    </row>
    <row r="10" spans="1:7">
      <c r="A10" s="9" t="s">
        <v>740</v>
      </c>
      <c r="B10" s="9" t="s">
        <v>741</v>
      </c>
      <c r="C10" s="9" t="s">
        <v>742</v>
      </c>
      <c r="D10" s="9" t="s">
        <v>738</v>
      </c>
      <c r="E10" s="12" t="s">
        <v>743</v>
      </c>
      <c r="F10" s="9" t="s">
        <v>725</v>
      </c>
      <c r="G10" s="9" t="s">
        <v>744</v>
      </c>
    </row>
    <row r="11" spans="1:7">
      <c r="A11" s="9" t="s">
        <v>745</v>
      </c>
      <c r="B11" s="9" t="s">
        <v>746</v>
      </c>
      <c r="C11" s="9" t="s">
        <v>649</v>
      </c>
      <c r="D11" s="9" t="s">
        <v>718</v>
      </c>
      <c r="E11" s="12">
        <v>0</v>
      </c>
      <c r="F11" s="9" t="s">
        <v>725</v>
      </c>
      <c r="G11" s="9" t="s">
        <v>747</v>
      </c>
    </row>
    <row r="12" spans="1:7">
      <c r="A12" s="9" t="s">
        <v>748</v>
      </c>
      <c r="B12" s="9" t="s">
        <v>749</v>
      </c>
      <c r="C12" s="9" t="s">
        <v>750</v>
      </c>
      <c r="D12" s="9" t="s">
        <v>738</v>
      </c>
      <c r="E12" s="12" t="s">
        <v>743</v>
      </c>
      <c r="F12" s="9" t="s">
        <v>725</v>
      </c>
      <c r="G12" s="9" t="s">
        <v>751</v>
      </c>
    </row>
    <row r="13" spans="1:7">
      <c r="A13" s="9" t="s">
        <v>752</v>
      </c>
      <c r="B13" s="9" t="s">
        <v>753</v>
      </c>
      <c r="C13" s="9" t="s">
        <v>754</v>
      </c>
      <c r="D13" s="9" t="s">
        <v>724</v>
      </c>
      <c r="E13" s="12" t="s">
        <v>421</v>
      </c>
      <c r="F13" s="9" t="s">
        <v>719</v>
      </c>
      <c r="G13" s="9" t="s">
        <v>755</v>
      </c>
    </row>
    <row r="14" spans="1:7">
      <c r="A14" s="9" t="s">
        <v>756</v>
      </c>
      <c r="B14" s="9" t="s">
        <v>757</v>
      </c>
      <c r="C14" s="9" t="s">
        <v>758</v>
      </c>
      <c r="D14" s="9" t="s">
        <v>738</v>
      </c>
      <c r="E14" s="12" t="s">
        <v>743</v>
      </c>
      <c r="F14" s="9" t="s">
        <v>725</v>
      </c>
      <c r="G14" s="9" t="s">
        <v>759</v>
      </c>
    </row>
    <row r="15" spans="1:7">
      <c r="A15" s="9" t="s">
        <v>760</v>
      </c>
      <c r="B15" s="9" t="s">
        <v>761</v>
      </c>
      <c r="C15" s="9" t="s">
        <v>762</v>
      </c>
      <c r="D15" s="9" t="s">
        <v>718</v>
      </c>
      <c r="E15" s="12" t="s">
        <v>428</v>
      </c>
      <c r="F15" s="9" t="s">
        <v>719</v>
      </c>
      <c r="G15" s="9" t="s">
        <v>763</v>
      </c>
    </row>
    <row r="16" spans="1:7">
      <c r="A16" s="9" t="s">
        <v>764</v>
      </c>
      <c r="B16" s="9" t="s">
        <v>765</v>
      </c>
      <c r="C16" s="9" t="s">
        <v>766</v>
      </c>
      <c r="D16" s="9" t="s">
        <v>718</v>
      </c>
      <c r="E16" s="12">
        <v>0</v>
      </c>
      <c r="F16" s="9" t="s">
        <v>725</v>
      </c>
      <c r="G16" s="9" t="s">
        <v>767</v>
      </c>
    </row>
  </sheetData>
  <mergeCells count="3">
    <mergeCell ref="A1:G1"/>
    <mergeCell ref="A2:G2"/>
    <mergeCell ref="A3:G3"/>
  </mergeCells>
  <phoneticPr fontId="6" type="noConversion"/>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H45"/>
  <sheetViews>
    <sheetView showGridLines="0" workbookViewId="0"/>
  </sheetViews>
  <sheetFormatPr defaultRowHeight="14.25"/>
  <cols>
    <col min="1" max="1" width="30" customWidth="1"/>
    <col min="2" max="2" width="40" customWidth="1"/>
    <col min="3" max="3" width="46" customWidth="1"/>
    <col min="4" max="4" width="22" customWidth="1"/>
    <col min="5" max="5" width="36" customWidth="1"/>
    <col min="6" max="6" width="58" customWidth="1"/>
    <col min="7" max="7" width="22" customWidth="1"/>
    <col min="8" max="8" width="62" customWidth="1"/>
    <col min="9" max="9" width="22" customWidth="1"/>
    <col min="10" max="10" width="34" customWidth="1"/>
    <col min="11" max="11" width="54" customWidth="1"/>
    <col min="12" max="12" width="22" customWidth="1"/>
    <col min="13" max="13" width="58" customWidth="1"/>
  </cols>
  <sheetData>
    <row r="1" spans="1:8" ht="30" customHeight="1">
      <c r="A1" s="22" t="s">
        <v>768</v>
      </c>
      <c r="B1" s="22"/>
      <c r="C1" s="22"/>
      <c r="D1" s="22"/>
      <c r="E1" s="22"/>
      <c r="F1" s="22"/>
      <c r="G1" s="22"/>
      <c r="H1" s="22"/>
    </row>
    <row r="2" spans="1:8" ht="36" customHeight="1">
      <c r="A2" s="23" t="s">
        <v>769</v>
      </c>
      <c r="B2" s="23"/>
      <c r="C2" s="23"/>
      <c r="D2" s="23"/>
      <c r="E2" s="23"/>
      <c r="F2" s="23"/>
      <c r="G2" s="23"/>
      <c r="H2" s="23"/>
    </row>
    <row r="3" spans="1:8" ht="24" customHeight="1">
      <c r="A3" s="24" t="s">
        <v>770</v>
      </c>
      <c r="B3" s="24"/>
      <c r="C3" s="24"/>
      <c r="D3" s="24"/>
      <c r="E3" s="24"/>
      <c r="F3" s="24"/>
      <c r="G3" s="24"/>
      <c r="H3" s="24"/>
    </row>
    <row r="4" spans="1:8" ht="36" customHeight="1">
      <c r="A4" s="11" t="s">
        <v>771</v>
      </c>
      <c r="B4" s="11" t="s">
        <v>772</v>
      </c>
      <c r="C4" s="11" t="s">
        <v>586</v>
      </c>
      <c r="D4" s="11" t="s">
        <v>773</v>
      </c>
      <c r="E4" s="11" t="s">
        <v>774</v>
      </c>
      <c r="F4" s="11" t="s">
        <v>775</v>
      </c>
      <c r="G4" s="11" t="s">
        <v>776</v>
      </c>
      <c r="H4" s="11" t="s">
        <v>777</v>
      </c>
    </row>
    <row r="5" spans="1:8">
      <c r="A5" s="9" t="s">
        <v>778</v>
      </c>
      <c r="B5" s="9" t="s">
        <v>589</v>
      </c>
      <c r="C5" s="9" t="s">
        <v>536</v>
      </c>
      <c r="D5" s="9" t="s">
        <v>779</v>
      </c>
      <c r="E5" s="9" t="s">
        <v>780</v>
      </c>
      <c r="F5" s="9" t="s">
        <v>414</v>
      </c>
      <c r="G5" s="9" t="s">
        <v>781</v>
      </c>
      <c r="H5" s="9"/>
    </row>
    <row r="6" spans="1:8">
      <c r="A6" s="9" t="s">
        <v>782</v>
      </c>
      <c r="B6" s="9" t="s">
        <v>589</v>
      </c>
      <c r="C6" s="9" t="s">
        <v>536</v>
      </c>
      <c r="D6" s="9" t="s">
        <v>779</v>
      </c>
      <c r="E6" s="9" t="s">
        <v>783</v>
      </c>
      <c r="F6" s="9" t="s">
        <v>431</v>
      </c>
      <c r="G6" s="9" t="s">
        <v>781</v>
      </c>
      <c r="H6" s="9"/>
    </row>
    <row r="7" spans="1:8">
      <c r="A7" s="9" t="s">
        <v>784</v>
      </c>
      <c r="B7" s="9" t="s">
        <v>785</v>
      </c>
      <c r="C7" s="9" t="s">
        <v>536</v>
      </c>
      <c r="D7" s="9" t="s">
        <v>786</v>
      </c>
      <c r="E7" s="9" t="s">
        <v>787</v>
      </c>
      <c r="F7" s="9" t="s">
        <v>788</v>
      </c>
      <c r="G7" s="9" t="s">
        <v>789</v>
      </c>
      <c r="H7" s="9" t="s">
        <v>790</v>
      </c>
    </row>
    <row r="8" spans="1:8">
      <c r="A8" s="9" t="s">
        <v>791</v>
      </c>
      <c r="B8" s="9" t="s">
        <v>792</v>
      </c>
      <c r="C8" s="9" t="s">
        <v>793</v>
      </c>
      <c r="D8" s="9" t="s">
        <v>794</v>
      </c>
      <c r="E8" s="9" t="s">
        <v>795</v>
      </c>
      <c r="F8" s="9" t="s">
        <v>421</v>
      </c>
      <c r="G8" s="9" t="s">
        <v>781</v>
      </c>
      <c r="H8" s="9" t="s">
        <v>796</v>
      </c>
    </row>
    <row r="9" spans="1:8">
      <c r="A9" s="9" t="s">
        <v>797</v>
      </c>
      <c r="B9" s="9" t="s">
        <v>589</v>
      </c>
      <c r="C9" s="9" t="s">
        <v>536</v>
      </c>
      <c r="D9" s="9" t="s">
        <v>779</v>
      </c>
      <c r="E9" s="9" t="s">
        <v>798</v>
      </c>
      <c r="F9" s="9" t="s">
        <v>414</v>
      </c>
      <c r="G9" s="9" t="s">
        <v>781</v>
      </c>
      <c r="H9" s="9"/>
    </row>
    <row r="10" spans="1:8">
      <c r="A10" s="9" t="s">
        <v>799</v>
      </c>
      <c r="B10" s="9" t="s">
        <v>800</v>
      </c>
      <c r="C10" s="9" t="s">
        <v>536</v>
      </c>
      <c r="D10" s="9" t="s">
        <v>801</v>
      </c>
      <c r="E10" s="9" t="s">
        <v>802</v>
      </c>
      <c r="F10" s="9" t="s">
        <v>803</v>
      </c>
      <c r="G10" s="9" t="s">
        <v>539</v>
      </c>
      <c r="H10" s="9" t="s">
        <v>804</v>
      </c>
    </row>
    <row r="11" spans="1:8">
      <c r="A11" s="9" t="s">
        <v>805</v>
      </c>
      <c r="B11" s="9" t="s">
        <v>806</v>
      </c>
      <c r="C11" s="9" t="s">
        <v>807</v>
      </c>
      <c r="D11" s="9" t="s">
        <v>614</v>
      </c>
      <c r="E11" s="9" t="s">
        <v>808</v>
      </c>
      <c r="F11" s="9" t="s">
        <v>809</v>
      </c>
      <c r="G11" s="9" t="s">
        <v>810</v>
      </c>
      <c r="H11" s="9"/>
    </row>
    <row r="12" spans="1:8">
      <c r="A12" s="9" t="s">
        <v>811</v>
      </c>
      <c r="B12" s="9" t="s">
        <v>603</v>
      </c>
      <c r="C12" s="9" t="s">
        <v>536</v>
      </c>
      <c r="D12" s="9" t="s">
        <v>801</v>
      </c>
      <c r="E12" s="9" t="s">
        <v>535</v>
      </c>
      <c r="F12" s="9" t="s">
        <v>812</v>
      </c>
      <c r="G12" s="9" t="s">
        <v>813</v>
      </c>
      <c r="H12" s="9" t="s">
        <v>814</v>
      </c>
    </row>
    <row r="13" spans="1:8">
      <c r="A13" s="9" t="s">
        <v>815</v>
      </c>
      <c r="B13" s="9" t="s">
        <v>607</v>
      </c>
      <c r="C13" s="9" t="s">
        <v>609</v>
      </c>
      <c r="D13" s="9" t="s">
        <v>614</v>
      </c>
      <c r="E13" s="9" t="s">
        <v>808</v>
      </c>
      <c r="F13" s="9" t="s">
        <v>454</v>
      </c>
      <c r="G13" s="9" t="s">
        <v>816</v>
      </c>
      <c r="H13" s="9"/>
    </row>
    <row r="14" spans="1:8">
      <c r="A14" s="9" t="s">
        <v>817</v>
      </c>
      <c r="B14" s="9" t="s">
        <v>617</v>
      </c>
      <c r="C14" s="9" t="s">
        <v>536</v>
      </c>
      <c r="D14" s="9" t="s">
        <v>786</v>
      </c>
      <c r="E14" s="9" t="s">
        <v>818</v>
      </c>
      <c r="F14" s="9" t="s">
        <v>418</v>
      </c>
      <c r="G14" s="9" t="s">
        <v>819</v>
      </c>
      <c r="H14" s="9"/>
    </row>
    <row r="15" spans="1:8">
      <c r="A15" s="9" t="s">
        <v>820</v>
      </c>
      <c r="B15" s="9" t="s">
        <v>617</v>
      </c>
      <c r="C15" s="9" t="s">
        <v>536</v>
      </c>
      <c r="D15" s="9" t="s">
        <v>801</v>
      </c>
      <c r="E15" s="9" t="s">
        <v>543</v>
      </c>
      <c r="F15" s="9" t="s">
        <v>821</v>
      </c>
      <c r="G15" s="9" t="s">
        <v>822</v>
      </c>
      <c r="H15" s="9" t="s">
        <v>804</v>
      </c>
    </row>
    <row r="16" spans="1:8">
      <c r="A16" s="9" t="s">
        <v>823</v>
      </c>
      <c r="B16" s="9" t="s">
        <v>824</v>
      </c>
      <c r="C16" s="9" t="s">
        <v>825</v>
      </c>
      <c r="D16" s="9" t="s">
        <v>794</v>
      </c>
      <c r="E16" s="9" t="s">
        <v>795</v>
      </c>
      <c r="F16" s="9" t="s">
        <v>826</v>
      </c>
      <c r="G16" s="9" t="s">
        <v>781</v>
      </c>
      <c r="H16" s="9"/>
    </row>
    <row r="17" spans="1:8">
      <c r="A17" s="9" t="s">
        <v>827</v>
      </c>
      <c r="B17" s="9" t="s">
        <v>828</v>
      </c>
      <c r="C17" s="9" t="s">
        <v>829</v>
      </c>
      <c r="D17" s="9" t="s">
        <v>794</v>
      </c>
      <c r="E17" s="9" t="s">
        <v>795</v>
      </c>
      <c r="F17" s="9" t="s">
        <v>830</v>
      </c>
      <c r="G17" s="9" t="s">
        <v>781</v>
      </c>
      <c r="H17" s="9"/>
    </row>
    <row r="18" spans="1:8">
      <c r="A18" s="9" t="s">
        <v>831</v>
      </c>
      <c r="B18" s="9" t="s">
        <v>832</v>
      </c>
      <c r="C18" s="9" t="s">
        <v>536</v>
      </c>
      <c r="D18" s="9" t="s">
        <v>786</v>
      </c>
      <c r="E18" s="9" t="s">
        <v>818</v>
      </c>
      <c r="F18" s="9" t="s">
        <v>414</v>
      </c>
      <c r="G18" s="9" t="s">
        <v>819</v>
      </c>
      <c r="H18" s="9"/>
    </row>
    <row r="19" spans="1:8">
      <c r="A19" s="9" t="s">
        <v>833</v>
      </c>
      <c r="B19" s="9" t="s">
        <v>832</v>
      </c>
      <c r="C19" s="9" t="s">
        <v>834</v>
      </c>
      <c r="D19" s="9" t="s">
        <v>801</v>
      </c>
      <c r="E19" s="9" t="s">
        <v>548</v>
      </c>
      <c r="F19" s="9" t="s">
        <v>835</v>
      </c>
      <c r="G19" s="9" t="s">
        <v>836</v>
      </c>
      <c r="H19" s="9" t="s">
        <v>837</v>
      </c>
    </row>
    <row r="20" spans="1:8">
      <c r="A20" s="9" t="s">
        <v>838</v>
      </c>
      <c r="B20" s="9" t="s">
        <v>839</v>
      </c>
      <c r="C20" s="9" t="s">
        <v>840</v>
      </c>
      <c r="D20" s="9" t="s">
        <v>794</v>
      </c>
      <c r="E20" s="9" t="s">
        <v>795</v>
      </c>
      <c r="F20" s="9" t="s">
        <v>809</v>
      </c>
      <c r="G20" s="9" t="s">
        <v>781</v>
      </c>
      <c r="H20" s="9"/>
    </row>
    <row r="21" spans="1:8">
      <c r="A21" s="9" t="s">
        <v>841</v>
      </c>
      <c r="B21" s="9" t="s">
        <v>630</v>
      </c>
      <c r="C21" s="9" t="s">
        <v>631</v>
      </c>
      <c r="D21" s="9" t="s">
        <v>786</v>
      </c>
      <c r="E21" s="9" t="s">
        <v>842</v>
      </c>
      <c r="F21" s="9" t="s">
        <v>559</v>
      </c>
      <c r="G21" s="9" t="s">
        <v>819</v>
      </c>
      <c r="H21" s="9" t="s">
        <v>843</v>
      </c>
    </row>
    <row r="22" spans="1:8">
      <c r="A22" s="9" t="s">
        <v>844</v>
      </c>
      <c r="B22" s="9" t="s">
        <v>589</v>
      </c>
      <c r="C22" s="9" t="s">
        <v>536</v>
      </c>
      <c r="D22" s="9" t="s">
        <v>779</v>
      </c>
      <c r="E22" s="9" t="s">
        <v>845</v>
      </c>
      <c r="F22" s="9" t="s">
        <v>414</v>
      </c>
      <c r="G22" s="9" t="s">
        <v>781</v>
      </c>
      <c r="H22" s="9"/>
    </row>
    <row r="23" spans="1:8">
      <c r="A23" s="9" t="s">
        <v>846</v>
      </c>
      <c r="B23" s="9" t="s">
        <v>639</v>
      </c>
      <c r="C23" s="9" t="s">
        <v>847</v>
      </c>
      <c r="D23" s="9" t="s">
        <v>794</v>
      </c>
      <c r="E23" s="9" t="s">
        <v>848</v>
      </c>
      <c r="F23" s="9" t="s">
        <v>418</v>
      </c>
      <c r="G23" s="9" t="s">
        <v>781</v>
      </c>
      <c r="H23" s="9" t="s">
        <v>573</v>
      </c>
    </row>
    <row r="24" spans="1:8">
      <c r="A24" s="9" t="s">
        <v>849</v>
      </c>
      <c r="B24" s="9" t="s">
        <v>850</v>
      </c>
      <c r="C24" s="9" t="s">
        <v>631</v>
      </c>
      <c r="D24" s="9" t="s">
        <v>786</v>
      </c>
      <c r="E24" s="9" t="s">
        <v>842</v>
      </c>
      <c r="F24" s="9" t="s">
        <v>559</v>
      </c>
      <c r="G24" s="9" t="s">
        <v>819</v>
      </c>
      <c r="H24" s="9" t="s">
        <v>851</v>
      </c>
    </row>
    <row r="25" spans="1:8">
      <c r="A25" s="9" t="s">
        <v>852</v>
      </c>
      <c r="B25" s="9" t="s">
        <v>589</v>
      </c>
      <c r="C25" s="9" t="s">
        <v>536</v>
      </c>
      <c r="D25" s="9" t="s">
        <v>779</v>
      </c>
      <c r="E25" s="9" t="s">
        <v>853</v>
      </c>
      <c r="F25" s="9" t="s">
        <v>414</v>
      </c>
      <c r="G25" s="9" t="s">
        <v>781</v>
      </c>
      <c r="H25" s="9"/>
    </row>
    <row r="26" spans="1:8">
      <c r="A26" s="9" t="s">
        <v>854</v>
      </c>
      <c r="B26" s="9" t="s">
        <v>648</v>
      </c>
      <c r="C26" s="9" t="s">
        <v>553</v>
      </c>
      <c r="D26" s="9" t="s">
        <v>855</v>
      </c>
      <c r="E26" s="9" t="s">
        <v>856</v>
      </c>
      <c r="F26" s="9" t="s">
        <v>857</v>
      </c>
      <c r="G26" s="9" t="s">
        <v>819</v>
      </c>
      <c r="H26" s="9"/>
    </row>
    <row r="27" spans="1:8">
      <c r="A27" s="9" t="s">
        <v>858</v>
      </c>
      <c r="B27" s="9" t="s">
        <v>648</v>
      </c>
      <c r="C27" s="9" t="s">
        <v>859</v>
      </c>
      <c r="D27" s="9" t="s">
        <v>855</v>
      </c>
      <c r="E27" s="9" t="s">
        <v>856</v>
      </c>
      <c r="F27" s="9" t="s">
        <v>860</v>
      </c>
      <c r="G27" s="9" t="s">
        <v>861</v>
      </c>
      <c r="H27" s="9"/>
    </row>
    <row r="28" spans="1:8">
      <c r="A28" s="9" t="s">
        <v>862</v>
      </c>
      <c r="B28" s="9" t="s">
        <v>648</v>
      </c>
      <c r="C28" s="9" t="s">
        <v>553</v>
      </c>
      <c r="D28" s="9" t="s">
        <v>801</v>
      </c>
      <c r="E28" s="9" t="s">
        <v>552</v>
      </c>
      <c r="F28" s="9" t="s">
        <v>863</v>
      </c>
      <c r="G28" s="9" t="s">
        <v>836</v>
      </c>
      <c r="H28" s="9"/>
    </row>
    <row r="29" spans="1:8">
      <c r="A29" s="9" t="s">
        <v>864</v>
      </c>
      <c r="B29" s="9" t="s">
        <v>865</v>
      </c>
      <c r="C29" s="9" t="s">
        <v>866</v>
      </c>
      <c r="D29" s="9" t="s">
        <v>794</v>
      </c>
      <c r="E29" s="9" t="s">
        <v>795</v>
      </c>
      <c r="F29" s="9" t="s">
        <v>418</v>
      </c>
      <c r="G29" s="9" t="s">
        <v>781</v>
      </c>
      <c r="H29" s="9" t="s">
        <v>867</v>
      </c>
    </row>
    <row r="30" spans="1:8">
      <c r="A30" s="9" t="s">
        <v>868</v>
      </c>
      <c r="B30" s="9" t="s">
        <v>589</v>
      </c>
      <c r="C30" s="9" t="s">
        <v>536</v>
      </c>
      <c r="D30" s="9" t="s">
        <v>779</v>
      </c>
      <c r="E30" s="9" t="s">
        <v>845</v>
      </c>
      <c r="F30" s="9" t="s">
        <v>414</v>
      </c>
      <c r="G30" s="9" t="s">
        <v>781</v>
      </c>
      <c r="H30" s="9"/>
    </row>
    <row r="31" spans="1:8">
      <c r="A31" s="9" t="s">
        <v>869</v>
      </c>
      <c r="B31" s="9" t="s">
        <v>870</v>
      </c>
      <c r="C31" s="9" t="s">
        <v>661</v>
      </c>
      <c r="D31" s="9" t="s">
        <v>801</v>
      </c>
      <c r="E31" s="9" t="s">
        <v>557</v>
      </c>
      <c r="F31" s="9" t="s">
        <v>428</v>
      </c>
      <c r="G31" s="9" t="s">
        <v>836</v>
      </c>
      <c r="H31" s="9"/>
    </row>
    <row r="32" spans="1:8">
      <c r="A32" s="9" t="s">
        <v>871</v>
      </c>
      <c r="B32" s="9" t="s">
        <v>872</v>
      </c>
      <c r="C32" s="9" t="s">
        <v>873</v>
      </c>
      <c r="D32" s="9" t="s">
        <v>794</v>
      </c>
      <c r="E32" s="9" t="s">
        <v>874</v>
      </c>
      <c r="F32" s="9" t="s">
        <v>418</v>
      </c>
      <c r="G32" s="9" t="s">
        <v>781</v>
      </c>
      <c r="H32" s="9" t="s">
        <v>875</v>
      </c>
    </row>
    <row r="33" spans="1:8">
      <c r="A33" s="9" t="s">
        <v>876</v>
      </c>
      <c r="B33" s="9" t="s">
        <v>589</v>
      </c>
      <c r="C33" s="9" t="s">
        <v>536</v>
      </c>
      <c r="D33" s="9" t="s">
        <v>779</v>
      </c>
      <c r="E33" s="9" t="s">
        <v>877</v>
      </c>
      <c r="F33" s="9" t="s">
        <v>414</v>
      </c>
      <c r="G33" s="9" t="s">
        <v>781</v>
      </c>
      <c r="H33" s="9"/>
    </row>
    <row r="34" spans="1:8">
      <c r="A34" s="9" t="s">
        <v>878</v>
      </c>
      <c r="B34" s="9" t="s">
        <v>879</v>
      </c>
      <c r="C34" s="9" t="s">
        <v>564</v>
      </c>
      <c r="D34" s="9" t="s">
        <v>801</v>
      </c>
      <c r="E34" s="9" t="s">
        <v>563</v>
      </c>
      <c r="F34" s="9" t="s">
        <v>880</v>
      </c>
      <c r="G34" s="9" t="s">
        <v>822</v>
      </c>
      <c r="H34" s="9"/>
    </row>
    <row r="35" spans="1:8">
      <c r="A35" s="9" t="s">
        <v>881</v>
      </c>
      <c r="B35" s="9" t="s">
        <v>882</v>
      </c>
      <c r="C35" s="9" t="s">
        <v>572</v>
      </c>
      <c r="D35" s="9" t="s">
        <v>794</v>
      </c>
      <c r="E35" s="9" t="s">
        <v>874</v>
      </c>
      <c r="F35" s="9" t="s">
        <v>421</v>
      </c>
      <c r="G35" s="9" t="s">
        <v>781</v>
      </c>
      <c r="H35" s="9" t="s">
        <v>883</v>
      </c>
    </row>
    <row r="36" spans="1:8">
      <c r="A36" s="9" t="s">
        <v>884</v>
      </c>
      <c r="B36" s="9" t="s">
        <v>885</v>
      </c>
      <c r="C36" s="9" t="s">
        <v>564</v>
      </c>
      <c r="D36" s="9" t="s">
        <v>801</v>
      </c>
      <c r="E36" s="9" t="s">
        <v>568</v>
      </c>
      <c r="F36" s="9" t="s">
        <v>880</v>
      </c>
      <c r="G36" s="9" t="s">
        <v>822</v>
      </c>
      <c r="H36" s="9"/>
    </row>
    <row r="37" spans="1:8">
      <c r="A37" s="9" t="s">
        <v>886</v>
      </c>
      <c r="B37" s="9" t="s">
        <v>887</v>
      </c>
      <c r="C37" s="9" t="s">
        <v>553</v>
      </c>
      <c r="D37" s="9" t="s">
        <v>779</v>
      </c>
      <c r="E37" s="9" t="s">
        <v>888</v>
      </c>
      <c r="F37" s="9" t="s">
        <v>418</v>
      </c>
      <c r="G37" s="9" t="s">
        <v>781</v>
      </c>
      <c r="H37" s="9" t="s">
        <v>883</v>
      </c>
    </row>
    <row r="38" spans="1:8">
      <c r="A38" s="9" t="s">
        <v>889</v>
      </c>
      <c r="B38" s="9" t="s">
        <v>589</v>
      </c>
      <c r="C38" s="9" t="s">
        <v>536</v>
      </c>
      <c r="D38" s="9" t="s">
        <v>779</v>
      </c>
      <c r="E38" s="9" t="s">
        <v>888</v>
      </c>
      <c r="F38" s="9" t="s">
        <v>414</v>
      </c>
      <c r="G38" s="9" t="s">
        <v>781</v>
      </c>
      <c r="H38" s="9"/>
    </row>
    <row r="39" spans="1:8">
      <c r="A39" s="9" t="s">
        <v>890</v>
      </c>
      <c r="B39" s="9" t="s">
        <v>589</v>
      </c>
      <c r="C39" s="9" t="s">
        <v>536</v>
      </c>
      <c r="D39" s="9" t="s">
        <v>779</v>
      </c>
      <c r="E39" s="9" t="s">
        <v>891</v>
      </c>
      <c r="F39" s="9" t="s">
        <v>424</v>
      </c>
      <c r="G39" s="9" t="s">
        <v>781</v>
      </c>
      <c r="H39" s="9"/>
    </row>
    <row r="40" spans="1:8">
      <c r="A40" s="9" t="s">
        <v>892</v>
      </c>
      <c r="B40" s="9" t="s">
        <v>893</v>
      </c>
      <c r="C40" s="9" t="s">
        <v>536</v>
      </c>
      <c r="D40" s="9" t="s">
        <v>779</v>
      </c>
      <c r="E40" s="9" t="s">
        <v>894</v>
      </c>
      <c r="F40" s="9" t="s">
        <v>895</v>
      </c>
      <c r="G40" s="9" t="s">
        <v>781</v>
      </c>
      <c r="H40" s="9" t="s">
        <v>896</v>
      </c>
    </row>
    <row r="41" spans="1:8">
      <c r="A41" s="9" t="s">
        <v>897</v>
      </c>
      <c r="B41" s="9" t="s">
        <v>693</v>
      </c>
      <c r="C41" s="9" t="s">
        <v>572</v>
      </c>
      <c r="D41" s="9" t="s">
        <v>801</v>
      </c>
      <c r="E41" s="9" t="s">
        <v>571</v>
      </c>
      <c r="F41" s="9" t="s">
        <v>898</v>
      </c>
      <c r="G41" s="9" t="s">
        <v>836</v>
      </c>
      <c r="H41" s="9" t="s">
        <v>573</v>
      </c>
    </row>
    <row r="42" spans="1:8">
      <c r="A42" s="9" t="s">
        <v>899</v>
      </c>
      <c r="B42" s="9" t="s">
        <v>589</v>
      </c>
      <c r="C42" s="9" t="s">
        <v>536</v>
      </c>
      <c r="D42" s="9" t="s">
        <v>779</v>
      </c>
      <c r="E42" s="9" t="s">
        <v>877</v>
      </c>
      <c r="F42" s="9" t="s">
        <v>414</v>
      </c>
      <c r="G42" s="9" t="s">
        <v>781</v>
      </c>
      <c r="H42" s="9"/>
    </row>
    <row r="43" spans="1:8">
      <c r="A43" s="9" t="s">
        <v>900</v>
      </c>
      <c r="B43" s="9" t="s">
        <v>901</v>
      </c>
      <c r="C43" s="9" t="s">
        <v>553</v>
      </c>
      <c r="D43" s="9" t="s">
        <v>786</v>
      </c>
      <c r="E43" s="9" t="s">
        <v>787</v>
      </c>
      <c r="F43" s="9" t="s">
        <v>902</v>
      </c>
      <c r="G43" s="9" t="s">
        <v>789</v>
      </c>
      <c r="H43" s="9" t="s">
        <v>903</v>
      </c>
    </row>
    <row r="44" spans="1:8">
      <c r="A44" s="9" t="s">
        <v>904</v>
      </c>
      <c r="B44" s="9" t="s">
        <v>905</v>
      </c>
      <c r="C44" s="9" t="s">
        <v>609</v>
      </c>
      <c r="D44" s="9" t="s">
        <v>906</v>
      </c>
      <c r="E44" s="9" t="s">
        <v>766</v>
      </c>
      <c r="F44" s="9" t="s">
        <v>907</v>
      </c>
      <c r="G44" s="9" t="s">
        <v>908</v>
      </c>
      <c r="H44" s="9" t="s">
        <v>909</v>
      </c>
    </row>
    <row r="45" spans="1:8">
      <c r="A45" s="9" t="s">
        <v>910</v>
      </c>
      <c r="B45" s="9" t="s">
        <v>671</v>
      </c>
      <c r="C45" s="9" t="s">
        <v>572</v>
      </c>
      <c r="D45" s="9" t="s">
        <v>801</v>
      </c>
      <c r="E45" s="9" t="s">
        <v>576</v>
      </c>
      <c r="F45" s="9" t="s">
        <v>911</v>
      </c>
      <c r="G45" s="9" t="s">
        <v>836</v>
      </c>
      <c r="H45" s="9" t="s">
        <v>573</v>
      </c>
    </row>
  </sheetData>
  <mergeCells count="3">
    <mergeCell ref="A1:H1"/>
    <mergeCell ref="A2:H2"/>
    <mergeCell ref="A3:H3"/>
  </mergeCells>
  <phoneticPr fontId="6" type="noConversion"/>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23"/>
  <sheetViews>
    <sheetView showGridLines="0" workbookViewId="0"/>
  </sheetViews>
  <sheetFormatPr defaultRowHeight="14.25"/>
  <cols>
    <col min="1" max="1" width="16" customWidth="1"/>
    <col min="2" max="2" width="30" customWidth="1"/>
    <col min="3" max="3" width="56" customWidth="1"/>
    <col min="4" max="4" width="60" customWidth="1"/>
    <col min="5" max="5" width="76" customWidth="1"/>
    <col min="6" max="6" width="72" customWidth="1"/>
    <col min="7" max="7" width="70" customWidth="1"/>
    <col min="8" max="8" width="54" customWidth="1"/>
    <col min="9" max="9" width="80" customWidth="1"/>
    <col min="10" max="10" width="30" customWidth="1"/>
    <col min="11" max="11" width="78" customWidth="1"/>
    <col min="12" max="12" width="58" customWidth="1"/>
    <col min="13" max="14" width="16" customWidth="1"/>
  </cols>
  <sheetData>
    <row r="1" spans="1:6" ht="30" customHeight="1">
      <c r="A1" s="15" t="s">
        <v>1303</v>
      </c>
      <c r="B1" s="15"/>
      <c r="C1" s="15"/>
      <c r="D1" s="15"/>
      <c r="E1" s="15"/>
      <c r="F1" s="15"/>
    </row>
    <row r="2" spans="1:6" ht="36" customHeight="1">
      <c r="A2" s="16" t="s">
        <v>1304</v>
      </c>
      <c r="B2" s="16"/>
      <c r="C2" s="16"/>
      <c r="D2" s="16"/>
      <c r="E2" s="16"/>
      <c r="F2" s="16"/>
    </row>
    <row r="3" spans="1:6" ht="24" customHeight="1">
      <c r="A3" s="17" t="s">
        <v>1305</v>
      </c>
      <c r="B3" s="17"/>
      <c r="C3" s="17"/>
      <c r="D3" s="17"/>
      <c r="E3" s="17"/>
      <c r="F3" s="17"/>
    </row>
    <row r="4" spans="1:6" ht="36" customHeight="1">
      <c r="A4" s="13" t="s">
        <v>1306</v>
      </c>
      <c r="B4" s="13" t="s">
        <v>1307</v>
      </c>
      <c r="C4" s="13" t="s">
        <v>1308</v>
      </c>
      <c r="D4" s="13" t="s">
        <v>1309</v>
      </c>
      <c r="E4" s="13" t="s">
        <v>1310</v>
      </c>
      <c r="F4" s="13" t="s">
        <v>1311</v>
      </c>
    </row>
    <row r="5" spans="1:6" ht="30" customHeight="1">
      <c r="A5" s="9" t="s">
        <v>1312</v>
      </c>
      <c r="B5" s="9" t="s">
        <v>921</v>
      </c>
      <c r="C5" s="9" t="s">
        <v>1313</v>
      </c>
      <c r="D5" s="9" t="s">
        <v>934</v>
      </c>
      <c r="E5" s="9" t="s">
        <v>1314</v>
      </c>
      <c r="F5" s="9" t="s">
        <v>1315</v>
      </c>
    </row>
    <row r="6" spans="1:6">
      <c r="A6" s="9" t="s">
        <v>1316</v>
      </c>
      <c r="B6" s="9" t="s">
        <v>1317</v>
      </c>
      <c r="C6" s="9" t="s">
        <v>1318</v>
      </c>
      <c r="D6" s="9" t="s">
        <v>1141</v>
      </c>
      <c r="E6" s="9" t="s">
        <v>1319</v>
      </c>
      <c r="F6" s="9" t="s">
        <v>1320</v>
      </c>
    </row>
    <row r="7" spans="1:6">
      <c r="A7" s="9" t="s">
        <v>1321</v>
      </c>
      <c r="B7" s="9" t="s">
        <v>1322</v>
      </c>
      <c r="C7" s="9" t="s">
        <v>1323</v>
      </c>
      <c r="D7" s="9" t="s">
        <v>413</v>
      </c>
      <c r="E7" s="9" t="s">
        <v>1324</v>
      </c>
      <c r="F7" s="9" t="s">
        <v>1320</v>
      </c>
    </row>
    <row r="8" spans="1:6">
      <c r="A8" s="9" t="s">
        <v>1325</v>
      </c>
      <c r="B8" s="9" t="s">
        <v>1326</v>
      </c>
      <c r="C8" s="9" t="s">
        <v>1327</v>
      </c>
      <c r="D8" s="9" t="s">
        <v>778</v>
      </c>
      <c r="E8" s="9" t="s">
        <v>1328</v>
      </c>
      <c r="F8" s="9" t="s">
        <v>1320</v>
      </c>
    </row>
    <row r="9" spans="1:6">
      <c r="A9" s="9" t="s">
        <v>1329</v>
      </c>
      <c r="B9" s="9" t="s">
        <v>1330</v>
      </c>
      <c r="C9" s="9" t="s">
        <v>1331</v>
      </c>
      <c r="D9" s="9" t="s">
        <v>1332</v>
      </c>
      <c r="E9" s="9" t="s">
        <v>1333</v>
      </c>
      <c r="F9" s="9" t="s">
        <v>1334</v>
      </c>
    </row>
    <row r="10" spans="1:6">
      <c r="A10" s="9" t="s">
        <v>1335</v>
      </c>
      <c r="B10" s="9" t="s">
        <v>1336</v>
      </c>
      <c r="C10" s="9" t="s">
        <v>1337</v>
      </c>
      <c r="D10" s="9" t="s">
        <v>1338</v>
      </c>
      <c r="E10" s="9" t="s">
        <v>1339</v>
      </c>
      <c r="F10" s="9" t="s">
        <v>1340</v>
      </c>
    </row>
    <row r="11" spans="1:6">
      <c r="A11" s="9" t="s">
        <v>1341</v>
      </c>
      <c r="B11" s="9" t="s">
        <v>1342</v>
      </c>
      <c r="C11" s="9" t="s">
        <v>1343</v>
      </c>
      <c r="D11" s="9" t="s">
        <v>1344</v>
      </c>
      <c r="E11" s="9" t="s">
        <v>1345</v>
      </c>
      <c r="F11" s="9" t="s">
        <v>1346</v>
      </c>
    </row>
    <row r="12" spans="1:6">
      <c r="A12" s="9" t="s">
        <v>1347</v>
      </c>
      <c r="B12" s="9" t="s">
        <v>1348</v>
      </c>
      <c r="C12" s="9" t="s">
        <v>1349</v>
      </c>
      <c r="D12" s="9" t="s">
        <v>1350</v>
      </c>
      <c r="E12" s="9" t="s">
        <v>1351</v>
      </c>
      <c r="F12" s="9" t="s">
        <v>1352</v>
      </c>
    </row>
    <row r="13" spans="1:6">
      <c r="A13" s="9" t="s">
        <v>1353</v>
      </c>
      <c r="B13" s="9" t="s">
        <v>1354</v>
      </c>
      <c r="C13" s="9" t="s">
        <v>1355</v>
      </c>
      <c r="D13" s="9" t="s">
        <v>1356</v>
      </c>
      <c r="E13" s="9" t="s">
        <v>1357</v>
      </c>
      <c r="F13" s="9" t="s">
        <v>1358</v>
      </c>
    </row>
    <row r="14" spans="1:6" ht="26.1" customHeight="1">
      <c r="A14" s="9" t="s">
        <v>1359</v>
      </c>
      <c r="B14" s="9" t="s">
        <v>1360</v>
      </c>
      <c r="C14" s="9" t="s">
        <v>1361</v>
      </c>
      <c r="D14" s="9" t="s">
        <v>1362</v>
      </c>
      <c r="E14" s="9" t="s">
        <v>1363</v>
      </c>
      <c r="F14" s="9" t="s">
        <v>1364</v>
      </c>
    </row>
    <row r="15" spans="1:6" ht="30" customHeight="1"/>
    <row r="23" ht="36" customHeight="1"/>
  </sheetData>
  <mergeCells count="3">
    <mergeCell ref="A1:F1"/>
    <mergeCell ref="A2:F2"/>
    <mergeCell ref="A3:F3"/>
  </mergeCells>
  <phoneticPr fontId="6" type="noConversion"/>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18</vt:i4>
      </vt:variant>
    </vt:vector>
  </HeadingPairs>
  <TitlesOfParts>
    <vt:vector size="18" baseType="lpstr">
      <vt:lpstr>01_광추 정의 테이블</vt:lpstr>
      <vt:lpstr>02_레벨테이블</vt:lpstr>
      <vt:lpstr>03_강화 재료 테이블</vt:lpstr>
      <vt:lpstr>04_광추 스탯 정의 테이블</vt:lpstr>
      <vt:lpstr>05_레벨업 스탯 테이블</vt:lpstr>
      <vt:lpstr>06_승급 스탯 테이블</vt:lpstr>
      <vt:lpstr>07_승급 재료 ID 테이블</vt:lpstr>
      <vt:lpstr>08_승급 재료 상세 테이블</vt:lpstr>
      <vt:lpstr>09_스킬 정의 테이블</vt:lpstr>
      <vt:lpstr>10_스킬 구조 노트</vt:lpstr>
      <vt:lpstr>11_스킬 노드 정의</vt:lpstr>
      <vt:lpstr>21_중첩수치</vt:lpstr>
      <vt:lpstr>22_원본 직접속성 감사</vt:lpstr>
      <vt:lpstr>23_상태정의</vt:lpstr>
      <vt:lpstr>24_발동정의</vt:lpstr>
      <vt:lpstr>25_조건정의</vt:lpstr>
      <vt:lpstr>26_효과정의</vt:lpstr>
      <vt:lpstr>20_ID·참조 규칙</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윤서 장</cp:lastModifiedBy>
  <dcterms:modified xsi:type="dcterms:W3CDTF">2026-08-04T14:24:23Z</dcterms:modified>
</cp:coreProperties>
</file>